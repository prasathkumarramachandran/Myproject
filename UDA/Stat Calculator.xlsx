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67391\Desktop\DS_Phython\UDA\"/>
    </mc:Choice>
  </mc:AlternateContent>
  <xr:revisionPtr revIDLastSave="0" documentId="10_ncr:100000_{387ABB1A-FAA3-4EC2-A0DE-41517A9896A0}" xr6:coauthVersionLast="31" xr6:coauthVersionMax="31" xr10:uidLastSave="{00000000-0000-0000-0000-000000000000}"/>
  <bookViews>
    <workbookView xWindow="2844" yWindow="0" windowWidth="22092" windowHeight="10908" xr2:uid="{00000000-000D-0000-FFFF-FFFF00000000}"/>
  </bookViews>
  <sheets>
    <sheet name="Sheet1 (2)" sheetId="3" r:id="rId1"/>
    <sheet name="Sheet2" sheetId="4" r:id="rId2"/>
    <sheet name="Sheet1" sheetId="1" r:id="rId3"/>
    <sheet name="Form Responses 1" sheetId="2" r:id="rId4"/>
  </sheets>
  <calcPr calcId="179017"/>
  <fileRecoveryPr repairLoad="1"/>
</workbook>
</file>

<file path=xl/calcChain.xml><?xml version="1.0" encoding="utf-8"?>
<calcChain xmlns="http://schemas.openxmlformats.org/spreadsheetml/2006/main">
  <c r="F39" i="3" l="1"/>
  <c r="F35" i="3"/>
  <c r="F36" i="3"/>
  <c r="F40" i="3" s="1"/>
  <c r="G4" i="3"/>
  <c r="F24" i="3" s="1"/>
  <c r="F23" i="3"/>
  <c r="F22" i="3"/>
  <c r="F21" i="3"/>
  <c r="G3" i="3"/>
  <c r="G2" i="3"/>
  <c r="F2" i="3"/>
  <c r="E2" i="3"/>
  <c r="B1050" i="3" s="1"/>
  <c r="C1050" i="3" s="1"/>
  <c r="B1047" i="3"/>
  <c r="C1047" i="3" s="1"/>
  <c r="B1043" i="3"/>
  <c r="C1043" i="3" s="1"/>
  <c r="B1039" i="3"/>
  <c r="C1039" i="3" s="1"/>
  <c r="B1035" i="3"/>
  <c r="C1035" i="3" s="1"/>
  <c r="B1031" i="3"/>
  <c r="C1031" i="3" s="1"/>
  <c r="B1027" i="3"/>
  <c r="C1027" i="3" s="1"/>
  <c r="B1023" i="3"/>
  <c r="C1023" i="3" s="1"/>
  <c r="B1019" i="3"/>
  <c r="C1019" i="3" s="1"/>
  <c r="B1015" i="3"/>
  <c r="C1015" i="3" s="1"/>
  <c r="B1011" i="3"/>
  <c r="C1011" i="3" s="1"/>
  <c r="B1007" i="3"/>
  <c r="C1007" i="3" s="1"/>
  <c r="B1003" i="3"/>
  <c r="C1003" i="3" s="1"/>
  <c r="B999" i="3"/>
  <c r="C999" i="3" s="1"/>
  <c r="B995" i="3"/>
  <c r="C995" i="3" s="1"/>
  <c r="B991" i="3"/>
  <c r="C991" i="3" s="1"/>
  <c r="B987" i="3"/>
  <c r="C987" i="3" s="1"/>
  <c r="B983" i="3"/>
  <c r="C983" i="3" s="1"/>
  <c r="B979" i="3"/>
  <c r="C979" i="3" s="1"/>
  <c r="B975" i="3"/>
  <c r="C975" i="3" s="1"/>
  <c r="B971" i="3"/>
  <c r="C971" i="3" s="1"/>
  <c r="B967" i="3"/>
  <c r="C967" i="3" s="1"/>
  <c r="B963" i="3"/>
  <c r="C963" i="3" s="1"/>
  <c r="B959" i="3"/>
  <c r="C959" i="3" s="1"/>
  <c r="B955" i="3"/>
  <c r="C955" i="3" s="1"/>
  <c r="B951" i="3"/>
  <c r="C951" i="3" s="1"/>
  <c r="B947" i="3"/>
  <c r="C947" i="3" s="1"/>
  <c r="B943" i="3"/>
  <c r="C943" i="3" s="1"/>
  <c r="B939" i="3"/>
  <c r="C939" i="3" s="1"/>
  <c r="B935" i="3"/>
  <c r="C935" i="3" s="1"/>
  <c r="B931" i="3"/>
  <c r="C931" i="3" s="1"/>
  <c r="B927" i="3"/>
  <c r="C927" i="3" s="1"/>
  <c r="B923" i="3"/>
  <c r="C923" i="3" s="1"/>
  <c r="B919" i="3"/>
  <c r="C919" i="3" s="1"/>
  <c r="B915" i="3"/>
  <c r="C915" i="3" s="1"/>
  <c r="B911" i="3"/>
  <c r="C911" i="3" s="1"/>
  <c r="B907" i="3"/>
  <c r="C907" i="3" s="1"/>
  <c r="B903" i="3"/>
  <c r="C903" i="3" s="1"/>
  <c r="B899" i="3"/>
  <c r="C899" i="3" s="1"/>
  <c r="B895" i="3"/>
  <c r="C895" i="3" s="1"/>
  <c r="B891" i="3"/>
  <c r="C891" i="3" s="1"/>
  <c r="B887" i="3"/>
  <c r="C887" i="3" s="1"/>
  <c r="B884" i="3"/>
  <c r="C884" i="3" s="1"/>
  <c r="B878" i="3"/>
  <c r="C878" i="3" s="1"/>
  <c r="B875" i="3"/>
  <c r="C875" i="3" s="1"/>
  <c r="B870" i="3"/>
  <c r="C870" i="3" s="1"/>
  <c r="B867" i="3"/>
  <c r="C867" i="3" s="1"/>
  <c r="B862" i="3"/>
  <c r="C862" i="3" s="1"/>
  <c r="B859" i="3"/>
  <c r="C859" i="3" s="1"/>
  <c r="B854" i="3"/>
  <c r="C854" i="3" s="1"/>
  <c r="B851" i="3"/>
  <c r="C851" i="3" s="1"/>
  <c r="B846" i="3"/>
  <c r="C846" i="3" s="1"/>
  <c r="B843" i="3"/>
  <c r="C843" i="3" s="1"/>
  <c r="B838" i="3"/>
  <c r="C838" i="3" s="1"/>
  <c r="B835" i="3"/>
  <c r="C835" i="3" s="1"/>
  <c r="B830" i="3"/>
  <c r="C830" i="3" s="1"/>
  <c r="B827" i="3"/>
  <c r="C827" i="3" s="1"/>
  <c r="B822" i="3"/>
  <c r="C822" i="3" s="1"/>
  <c r="B819" i="3"/>
  <c r="C819" i="3" s="1"/>
  <c r="B814" i="3"/>
  <c r="C814" i="3" s="1"/>
  <c r="B811" i="3"/>
  <c r="C811" i="3" s="1"/>
  <c r="B806" i="3"/>
  <c r="C806" i="3" s="1"/>
  <c r="B803" i="3"/>
  <c r="C803" i="3" s="1"/>
  <c r="B797" i="3"/>
  <c r="C797" i="3" s="1"/>
  <c r="B793" i="3"/>
  <c r="C793" i="3" s="1"/>
  <c r="B790" i="3"/>
  <c r="C790" i="3" s="1"/>
  <c r="B786" i="3"/>
  <c r="C786" i="3" s="1"/>
  <c r="B783" i="3"/>
  <c r="C783" i="3" s="1"/>
  <c r="B779" i="3"/>
  <c r="C779" i="3" s="1"/>
  <c r="B776" i="3"/>
  <c r="C776" i="3" s="1"/>
  <c r="B772" i="3"/>
  <c r="C772" i="3" s="1"/>
  <c r="B765" i="3"/>
  <c r="C765" i="3" s="1"/>
  <c r="B764" i="3"/>
  <c r="C764" i="3" s="1"/>
  <c r="B761" i="3"/>
  <c r="C761" i="3" s="1"/>
  <c r="B758" i="3"/>
  <c r="C758" i="3" s="1"/>
  <c r="B757" i="3"/>
  <c r="C757" i="3" s="1"/>
  <c r="B756" i="3"/>
  <c r="C756" i="3" s="1"/>
  <c r="B755" i="3"/>
  <c r="C755" i="3" s="1"/>
  <c r="B754" i="3"/>
  <c r="C754" i="3" s="1"/>
  <c r="B753" i="3"/>
  <c r="C753" i="3" s="1"/>
  <c r="C752" i="3"/>
  <c r="B752" i="3"/>
  <c r="B751" i="3"/>
  <c r="C751" i="3" s="1"/>
  <c r="B750" i="3"/>
  <c r="C750" i="3" s="1"/>
  <c r="B749" i="3"/>
  <c r="C749" i="3" s="1"/>
  <c r="B748" i="3"/>
  <c r="C748" i="3" s="1"/>
  <c r="B747" i="3"/>
  <c r="C747" i="3" s="1"/>
  <c r="B746" i="3"/>
  <c r="C746" i="3" s="1"/>
  <c r="B745" i="3"/>
  <c r="C745" i="3" s="1"/>
  <c r="B744" i="3"/>
  <c r="C744" i="3" s="1"/>
  <c r="B743" i="3"/>
  <c r="C743" i="3" s="1"/>
  <c r="B742" i="3"/>
  <c r="C742" i="3" s="1"/>
  <c r="B741" i="3"/>
  <c r="C741" i="3" s="1"/>
  <c r="B740" i="3"/>
  <c r="C740" i="3" s="1"/>
  <c r="B739" i="3"/>
  <c r="C739" i="3" s="1"/>
  <c r="B738" i="3"/>
  <c r="C738" i="3" s="1"/>
  <c r="B737" i="3"/>
  <c r="C737" i="3" s="1"/>
  <c r="B736" i="3"/>
  <c r="C736" i="3" s="1"/>
  <c r="B735" i="3"/>
  <c r="C735" i="3" s="1"/>
  <c r="B734" i="3"/>
  <c r="C734" i="3" s="1"/>
  <c r="B733" i="3"/>
  <c r="C733" i="3" s="1"/>
  <c r="B732" i="3"/>
  <c r="C732" i="3" s="1"/>
  <c r="B731" i="3"/>
  <c r="C731" i="3" s="1"/>
  <c r="B730" i="3"/>
  <c r="C730" i="3" s="1"/>
  <c r="B729" i="3"/>
  <c r="C729" i="3" s="1"/>
  <c r="B728" i="3"/>
  <c r="C728" i="3" s="1"/>
  <c r="B727" i="3"/>
  <c r="C727" i="3" s="1"/>
  <c r="B726" i="3"/>
  <c r="C726" i="3" s="1"/>
  <c r="B725" i="3"/>
  <c r="C725" i="3" s="1"/>
  <c r="B724" i="3"/>
  <c r="C724" i="3" s="1"/>
  <c r="B723" i="3"/>
  <c r="C723" i="3" s="1"/>
  <c r="B722" i="3"/>
  <c r="C722" i="3" s="1"/>
  <c r="B721" i="3"/>
  <c r="C721" i="3" s="1"/>
  <c r="C720" i="3"/>
  <c r="B720" i="3"/>
  <c r="B719" i="3"/>
  <c r="C719" i="3" s="1"/>
  <c r="B718" i="3"/>
  <c r="C718" i="3" s="1"/>
  <c r="B717" i="3"/>
  <c r="C717" i="3" s="1"/>
  <c r="B716" i="3"/>
  <c r="C716" i="3" s="1"/>
  <c r="B715" i="3"/>
  <c r="C715" i="3" s="1"/>
  <c r="B714" i="3"/>
  <c r="C714" i="3" s="1"/>
  <c r="B713" i="3"/>
  <c r="C713" i="3" s="1"/>
  <c r="B712" i="3"/>
  <c r="C712" i="3" s="1"/>
  <c r="B711" i="3"/>
  <c r="C711" i="3" s="1"/>
  <c r="B710" i="3"/>
  <c r="C710" i="3" s="1"/>
  <c r="B709" i="3"/>
  <c r="C709" i="3" s="1"/>
  <c r="B708" i="3"/>
  <c r="C708" i="3" s="1"/>
  <c r="B707" i="3"/>
  <c r="C707" i="3" s="1"/>
  <c r="B706" i="3"/>
  <c r="C706" i="3" s="1"/>
  <c r="B705" i="3"/>
  <c r="C705" i="3" s="1"/>
  <c r="B704" i="3"/>
  <c r="C704" i="3" s="1"/>
  <c r="B703" i="3"/>
  <c r="C703" i="3" s="1"/>
  <c r="B702" i="3"/>
  <c r="C702" i="3" s="1"/>
  <c r="B701" i="3"/>
  <c r="C701" i="3" s="1"/>
  <c r="B700" i="3"/>
  <c r="C700" i="3" s="1"/>
  <c r="B699" i="3"/>
  <c r="C699" i="3" s="1"/>
  <c r="B698" i="3"/>
  <c r="C698" i="3" s="1"/>
  <c r="B697" i="3"/>
  <c r="C697" i="3" s="1"/>
  <c r="B696" i="3"/>
  <c r="C696" i="3" s="1"/>
  <c r="B695" i="3"/>
  <c r="C695" i="3" s="1"/>
  <c r="B694" i="3"/>
  <c r="C694" i="3" s="1"/>
  <c r="B693" i="3"/>
  <c r="C693" i="3" s="1"/>
  <c r="B692" i="3"/>
  <c r="C692" i="3" s="1"/>
  <c r="B691" i="3"/>
  <c r="C691" i="3" s="1"/>
  <c r="B690" i="3"/>
  <c r="C690" i="3" s="1"/>
  <c r="B689" i="3"/>
  <c r="C689" i="3" s="1"/>
  <c r="B688" i="3"/>
  <c r="C688" i="3" s="1"/>
  <c r="B687" i="3"/>
  <c r="C687" i="3" s="1"/>
  <c r="B686" i="3"/>
  <c r="C686" i="3" s="1"/>
  <c r="B685" i="3"/>
  <c r="C685" i="3" s="1"/>
  <c r="B684" i="3"/>
  <c r="C684" i="3" s="1"/>
  <c r="B683" i="3"/>
  <c r="C683" i="3" s="1"/>
  <c r="B682" i="3"/>
  <c r="C682" i="3" s="1"/>
  <c r="B681" i="3"/>
  <c r="C681" i="3" s="1"/>
  <c r="B680" i="3"/>
  <c r="C680" i="3" s="1"/>
  <c r="B679" i="3"/>
  <c r="C679" i="3" s="1"/>
  <c r="B678" i="3"/>
  <c r="C678" i="3" s="1"/>
  <c r="B677" i="3"/>
  <c r="C677" i="3" s="1"/>
  <c r="B676" i="3"/>
  <c r="C676" i="3" s="1"/>
  <c r="B675" i="3"/>
  <c r="C675" i="3" s="1"/>
  <c r="B674" i="3"/>
  <c r="C674" i="3" s="1"/>
  <c r="B673" i="3"/>
  <c r="C673" i="3" s="1"/>
  <c r="B672" i="3"/>
  <c r="C672" i="3" s="1"/>
  <c r="B671" i="3"/>
  <c r="C671" i="3" s="1"/>
  <c r="B670" i="3"/>
  <c r="C670" i="3" s="1"/>
  <c r="B669" i="3"/>
  <c r="C669" i="3" s="1"/>
  <c r="B668" i="3"/>
  <c r="C668" i="3" s="1"/>
  <c r="B667" i="3"/>
  <c r="C667" i="3" s="1"/>
  <c r="B666" i="3"/>
  <c r="C666" i="3" s="1"/>
  <c r="B665" i="3"/>
  <c r="C665" i="3" s="1"/>
  <c r="B664" i="3"/>
  <c r="C664" i="3" s="1"/>
  <c r="B663" i="3"/>
  <c r="C663" i="3" s="1"/>
  <c r="B662" i="3"/>
  <c r="C662" i="3" s="1"/>
  <c r="B661" i="3"/>
  <c r="C661" i="3" s="1"/>
  <c r="B660" i="3"/>
  <c r="C660" i="3" s="1"/>
  <c r="B659" i="3"/>
  <c r="C659" i="3" s="1"/>
  <c r="B658" i="3"/>
  <c r="C658" i="3" s="1"/>
  <c r="B657" i="3"/>
  <c r="C657" i="3" s="1"/>
  <c r="B656" i="3"/>
  <c r="C656" i="3" s="1"/>
  <c r="B655" i="3"/>
  <c r="C655" i="3" s="1"/>
  <c r="B654" i="3"/>
  <c r="C654" i="3" s="1"/>
  <c r="B653" i="3"/>
  <c r="C653" i="3" s="1"/>
  <c r="B652" i="3"/>
  <c r="C652" i="3" s="1"/>
  <c r="B651" i="3"/>
  <c r="C651" i="3" s="1"/>
  <c r="B650" i="3"/>
  <c r="C650" i="3" s="1"/>
  <c r="B649" i="3"/>
  <c r="C649" i="3" s="1"/>
  <c r="B648" i="3"/>
  <c r="C648" i="3" s="1"/>
  <c r="B647" i="3"/>
  <c r="C647" i="3" s="1"/>
  <c r="B646" i="3"/>
  <c r="C646" i="3" s="1"/>
  <c r="B645" i="3"/>
  <c r="C645" i="3" s="1"/>
  <c r="B644" i="3"/>
  <c r="C644" i="3" s="1"/>
  <c r="B643" i="3"/>
  <c r="C643" i="3" s="1"/>
  <c r="B642" i="3"/>
  <c r="C642" i="3" s="1"/>
  <c r="B641" i="3"/>
  <c r="C641" i="3" s="1"/>
  <c r="B640" i="3"/>
  <c r="C640" i="3" s="1"/>
  <c r="B639" i="3"/>
  <c r="C639" i="3" s="1"/>
  <c r="B638" i="3"/>
  <c r="C638" i="3" s="1"/>
  <c r="B637" i="3"/>
  <c r="C637" i="3" s="1"/>
  <c r="B636" i="3"/>
  <c r="C636" i="3" s="1"/>
  <c r="B635" i="3"/>
  <c r="C635" i="3" s="1"/>
  <c r="B634" i="3"/>
  <c r="C634" i="3" s="1"/>
  <c r="B633" i="3"/>
  <c r="C633" i="3" s="1"/>
  <c r="B632" i="3"/>
  <c r="C632" i="3" s="1"/>
  <c r="B631" i="3"/>
  <c r="C631" i="3" s="1"/>
  <c r="B630" i="3"/>
  <c r="C630" i="3" s="1"/>
  <c r="B629" i="3"/>
  <c r="C629" i="3" s="1"/>
  <c r="B628" i="3"/>
  <c r="C628" i="3" s="1"/>
  <c r="B627" i="3"/>
  <c r="C627" i="3" s="1"/>
  <c r="B626" i="3"/>
  <c r="C626" i="3" s="1"/>
  <c r="B625" i="3"/>
  <c r="C625" i="3" s="1"/>
  <c r="B624" i="3"/>
  <c r="C624" i="3" s="1"/>
  <c r="B623" i="3"/>
  <c r="C623" i="3" s="1"/>
  <c r="B622" i="3"/>
  <c r="C622" i="3" s="1"/>
  <c r="B621" i="3"/>
  <c r="C621" i="3" s="1"/>
  <c r="B620" i="3"/>
  <c r="C620" i="3" s="1"/>
  <c r="B619" i="3"/>
  <c r="C619" i="3" s="1"/>
  <c r="B618" i="3"/>
  <c r="C618" i="3" s="1"/>
  <c r="B617" i="3"/>
  <c r="C617" i="3" s="1"/>
  <c r="B616" i="3"/>
  <c r="C616" i="3" s="1"/>
  <c r="B615" i="3"/>
  <c r="C615" i="3" s="1"/>
  <c r="B614" i="3"/>
  <c r="C614" i="3" s="1"/>
  <c r="B613" i="3"/>
  <c r="C613" i="3" s="1"/>
  <c r="B612" i="3"/>
  <c r="C612" i="3" s="1"/>
  <c r="B611" i="3"/>
  <c r="C611" i="3" s="1"/>
  <c r="B610" i="3"/>
  <c r="C610" i="3" s="1"/>
  <c r="B609" i="3"/>
  <c r="C609" i="3" s="1"/>
  <c r="B608" i="3"/>
  <c r="C608" i="3" s="1"/>
  <c r="B607" i="3"/>
  <c r="C607" i="3" s="1"/>
  <c r="B606" i="3"/>
  <c r="C606" i="3" s="1"/>
  <c r="B605" i="3"/>
  <c r="C605" i="3" s="1"/>
  <c r="B604" i="3"/>
  <c r="C604" i="3" s="1"/>
  <c r="B603" i="3"/>
  <c r="C603" i="3" s="1"/>
  <c r="B602" i="3"/>
  <c r="C602" i="3" s="1"/>
  <c r="B601" i="3"/>
  <c r="C601" i="3" s="1"/>
  <c r="B600" i="3"/>
  <c r="C600" i="3" s="1"/>
  <c r="B599" i="3"/>
  <c r="C599" i="3" s="1"/>
  <c r="B598" i="3"/>
  <c r="C598" i="3" s="1"/>
  <c r="B597" i="3"/>
  <c r="C597" i="3" s="1"/>
  <c r="B596" i="3"/>
  <c r="C596" i="3" s="1"/>
  <c r="B595" i="3"/>
  <c r="C595" i="3" s="1"/>
  <c r="B594" i="3"/>
  <c r="C594" i="3" s="1"/>
  <c r="B593" i="3"/>
  <c r="C593" i="3" s="1"/>
  <c r="B592" i="3"/>
  <c r="C592" i="3" s="1"/>
  <c r="B591" i="3"/>
  <c r="C591" i="3" s="1"/>
  <c r="B590" i="3"/>
  <c r="C590" i="3" s="1"/>
  <c r="B589" i="3"/>
  <c r="C589" i="3" s="1"/>
  <c r="B588" i="3"/>
  <c r="C588" i="3" s="1"/>
  <c r="B587" i="3"/>
  <c r="C587" i="3" s="1"/>
  <c r="B586" i="3"/>
  <c r="C586" i="3" s="1"/>
  <c r="B585" i="3"/>
  <c r="C585" i="3" s="1"/>
  <c r="B584" i="3"/>
  <c r="C584" i="3" s="1"/>
  <c r="B583" i="3"/>
  <c r="C583" i="3" s="1"/>
  <c r="B582" i="3"/>
  <c r="C582" i="3" s="1"/>
  <c r="B581" i="3"/>
  <c r="C581" i="3" s="1"/>
  <c r="B580" i="3"/>
  <c r="C580" i="3" s="1"/>
  <c r="B579" i="3"/>
  <c r="C579" i="3" s="1"/>
  <c r="B578" i="3"/>
  <c r="C578" i="3" s="1"/>
  <c r="B577" i="3"/>
  <c r="C577" i="3" s="1"/>
  <c r="B576" i="3"/>
  <c r="C576" i="3" s="1"/>
  <c r="B575" i="3"/>
  <c r="C575" i="3" s="1"/>
  <c r="B574" i="3"/>
  <c r="C574" i="3" s="1"/>
  <c r="B573" i="3"/>
  <c r="C573" i="3" s="1"/>
  <c r="B572" i="3"/>
  <c r="C572" i="3" s="1"/>
  <c r="B571" i="3"/>
  <c r="C571" i="3" s="1"/>
  <c r="B570" i="3"/>
  <c r="C570" i="3" s="1"/>
  <c r="B569" i="3"/>
  <c r="C569" i="3" s="1"/>
  <c r="B568" i="3"/>
  <c r="C568" i="3" s="1"/>
  <c r="B567" i="3"/>
  <c r="C567" i="3" s="1"/>
  <c r="B566" i="3"/>
  <c r="C566" i="3" s="1"/>
  <c r="B565" i="3"/>
  <c r="C565" i="3" s="1"/>
  <c r="B564" i="3"/>
  <c r="C564" i="3" s="1"/>
  <c r="B563" i="3"/>
  <c r="C563" i="3" s="1"/>
  <c r="B562" i="3"/>
  <c r="C562" i="3" s="1"/>
  <c r="B561" i="3"/>
  <c r="C561" i="3" s="1"/>
  <c r="B560" i="3"/>
  <c r="C560" i="3" s="1"/>
  <c r="B559" i="3"/>
  <c r="C559" i="3" s="1"/>
  <c r="B558" i="3"/>
  <c r="C558" i="3" s="1"/>
  <c r="B557" i="3"/>
  <c r="C557" i="3" s="1"/>
  <c r="B556" i="3"/>
  <c r="C556" i="3" s="1"/>
  <c r="B555" i="3"/>
  <c r="C555" i="3" s="1"/>
  <c r="B554" i="3"/>
  <c r="C554" i="3" s="1"/>
  <c r="B553" i="3"/>
  <c r="C553" i="3" s="1"/>
  <c r="B552" i="3"/>
  <c r="C552" i="3" s="1"/>
  <c r="B551" i="3"/>
  <c r="C551" i="3" s="1"/>
  <c r="B550" i="3"/>
  <c r="C550" i="3" s="1"/>
  <c r="B549" i="3"/>
  <c r="C549" i="3" s="1"/>
  <c r="B548" i="3"/>
  <c r="C548" i="3" s="1"/>
  <c r="B547" i="3"/>
  <c r="C547" i="3" s="1"/>
  <c r="B546" i="3"/>
  <c r="C546" i="3" s="1"/>
  <c r="C545" i="3"/>
  <c r="B545" i="3"/>
  <c r="B544" i="3"/>
  <c r="C544" i="3" s="1"/>
  <c r="B543" i="3"/>
  <c r="C543" i="3" s="1"/>
  <c r="B542" i="3"/>
  <c r="C542" i="3" s="1"/>
  <c r="B541" i="3"/>
  <c r="C541" i="3" s="1"/>
  <c r="B540" i="3"/>
  <c r="C540" i="3" s="1"/>
  <c r="B539" i="3"/>
  <c r="C539" i="3" s="1"/>
  <c r="B538" i="3"/>
  <c r="C538" i="3" s="1"/>
  <c r="B537" i="3"/>
  <c r="C537" i="3" s="1"/>
  <c r="B536" i="3"/>
  <c r="C536" i="3" s="1"/>
  <c r="B535" i="3"/>
  <c r="C535" i="3" s="1"/>
  <c r="B534" i="3"/>
  <c r="C534" i="3" s="1"/>
  <c r="B533" i="3"/>
  <c r="C533" i="3" s="1"/>
  <c r="B532" i="3"/>
  <c r="C532" i="3" s="1"/>
  <c r="B531" i="3"/>
  <c r="C531" i="3" s="1"/>
  <c r="B530" i="3"/>
  <c r="C530" i="3" s="1"/>
  <c r="B529" i="3"/>
  <c r="C529" i="3" s="1"/>
  <c r="B528" i="3"/>
  <c r="C528" i="3" s="1"/>
  <c r="B527" i="3"/>
  <c r="C527" i="3" s="1"/>
  <c r="B526" i="3"/>
  <c r="C526" i="3" s="1"/>
  <c r="B525" i="3"/>
  <c r="C525" i="3" s="1"/>
  <c r="B524" i="3"/>
  <c r="C524" i="3" s="1"/>
  <c r="B523" i="3"/>
  <c r="C523" i="3" s="1"/>
  <c r="B522" i="3"/>
  <c r="C522" i="3" s="1"/>
  <c r="B521" i="3"/>
  <c r="C521" i="3" s="1"/>
  <c r="B520" i="3"/>
  <c r="C520" i="3" s="1"/>
  <c r="B519" i="3"/>
  <c r="C519" i="3" s="1"/>
  <c r="B518" i="3"/>
  <c r="C518" i="3" s="1"/>
  <c r="B517" i="3"/>
  <c r="C517" i="3" s="1"/>
  <c r="B516" i="3"/>
  <c r="C516" i="3" s="1"/>
  <c r="B515" i="3"/>
  <c r="C515" i="3" s="1"/>
  <c r="B514" i="3"/>
  <c r="C514" i="3" s="1"/>
  <c r="C513" i="3"/>
  <c r="B513" i="3"/>
  <c r="B512" i="3"/>
  <c r="C512" i="3" s="1"/>
  <c r="B511" i="3"/>
  <c r="C511" i="3" s="1"/>
  <c r="B510" i="3"/>
  <c r="C510" i="3" s="1"/>
  <c r="B509" i="3"/>
  <c r="C509" i="3" s="1"/>
  <c r="B508" i="3"/>
  <c r="C508" i="3" s="1"/>
  <c r="B507" i="3"/>
  <c r="C507" i="3" s="1"/>
  <c r="B506" i="3"/>
  <c r="C506" i="3" s="1"/>
  <c r="B505" i="3"/>
  <c r="C505" i="3" s="1"/>
  <c r="B504" i="3"/>
  <c r="C504" i="3" s="1"/>
  <c r="B503" i="3"/>
  <c r="C503" i="3" s="1"/>
  <c r="B502" i="3"/>
  <c r="C502" i="3" s="1"/>
  <c r="B501" i="3"/>
  <c r="C501" i="3" s="1"/>
  <c r="B500" i="3"/>
  <c r="C500" i="3" s="1"/>
  <c r="B499" i="3"/>
  <c r="C499" i="3" s="1"/>
  <c r="B498" i="3"/>
  <c r="C498" i="3" s="1"/>
  <c r="B497" i="3"/>
  <c r="C497" i="3" s="1"/>
  <c r="B496" i="3"/>
  <c r="C496" i="3" s="1"/>
  <c r="B495" i="3"/>
  <c r="C495" i="3" s="1"/>
  <c r="B494" i="3"/>
  <c r="C494" i="3" s="1"/>
  <c r="B493" i="3"/>
  <c r="C493" i="3" s="1"/>
  <c r="B492" i="3"/>
  <c r="C492" i="3" s="1"/>
  <c r="B491" i="3"/>
  <c r="C491" i="3" s="1"/>
  <c r="B490" i="3"/>
  <c r="C490" i="3" s="1"/>
  <c r="C489" i="3"/>
  <c r="B489" i="3"/>
  <c r="B488" i="3"/>
  <c r="C488" i="3" s="1"/>
  <c r="B487" i="3"/>
  <c r="C487" i="3" s="1"/>
  <c r="B486" i="3"/>
  <c r="C486" i="3" s="1"/>
  <c r="B485" i="3"/>
  <c r="C485" i="3" s="1"/>
  <c r="B484" i="3"/>
  <c r="C484" i="3" s="1"/>
  <c r="B483" i="3"/>
  <c r="C483" i="3" s="1"/>
  <c r="B482" i="3"/>
  <c r="C482" i="3" s="1"/>
  <c r="B481" i="3"/>
  <c r="C481" i="3" s="1"/>
  <c r="B480" i="3"/>
  <c r="C480" i="3" s="1"/>
  <c r="B479" i="3"/>
  <c r="C479" i="3" s="1"/>
  <c r="B478" i="3"/>
  <c r="C478" i="3" s="1"/>
  <c r="B477" i="3"/>
  <c r="C477" i="3" s="1"/>
  <c r="B476" i="3"/>
  <c r="C476" i="3" s="1"/>
  <c r="B475" i="3"/>
  <c r="C475" i="3" s="1"/>
  <c r="B474" i="3"/>
  <c r="C474" i="3" s="1"/>
  <c r="B473" i="3"/>
  <c r="C473" i="3" s="1"/>
  <c r="B472" i="3"/>
  <c r="C472" i="3" s="1"/>
  <c r="B471" i="3"/>
  <c r="C471" i="3" s="1"/>
  <c r="B470" i="3"/>
  <c r="C470" i="3" s="1"/>
  <c r="B469" i="3"/>
  <c r="C469" i="3" s="1"/>
  <c r="B468" i="3"/>
  <c r="C468" i="3" s="1"/>
  <c r="B467" i="3"/>
  <c r="C467" i="3" s="1"/>
  <c r="B466" i="3"/>
  <c r="C466" i="3" s="1"/>
  <c r="B465" i="3"/>
  <c r="C465" i="3" s="1"/>
  <c r="B464" i="3"/>
  <c r="C464" i="3" s="1"/>
  <c r="B463" i="3"/>
  <c r="C463" i="3" s="1"/>
  <c r="B462" i="3"/>
  <c r="C462" i="3" s="1"/>
  <c r="B461" i="3"/>
  <c r="C461" i="3" s="1"/>
  <c r="B460" i="3"/>
  <c r="C460" i="3" s="1"/>
  <c r="B459" i="3"/>
  <c r="C459" i="3" s="1"/>
  <c r="B458" i="3"/>
  <c r="C458" i="3" s="1"/>
  <c r="C457" i="3"/>
  <c r="B457" i="3"/>
  <c r="B456" i="3"/>
  <c r="C456" i="3" s="1"/>
  <c r="B455" i="3"/>
  <c r="C455" i="3" s="1"/>
  <c r="B454" i="3"/>
  <c r="C454" i="3" s="1"/>
  <c r="B453" i="3"/>
  <c r="C453" i="3" s="1"/>
  <c r="B452" i="3"/>
  <c r="C452" i="3" s="1"/>
  <c r="B451" i="3"/>
  <c r="C451" i="3" s="1"/>
  <c r="B450" i="3"/>
  <c r="C450" i="3" s="1"/>
  <c r="B449" i="3"/>
  <c r="C449" i="3" s="1"/>
  <c r="B448" i="3"/>
  <c r="C448" i="3" s="1"/>
  <c r="B447" i="3"/>
  <c r="C447" i="3" s="1"/>
  <c r="B446" i="3"/>
  <c r="C446" i="3" s="1"/>
  <c r="B445" i="3"/>
  <c r="C445" i="3" s="1"/>
  <c r="B444" i="3"/>
  <c r="C444" i="3" s="1"/>
  <c r="B443" i="3"/>
  <c r="C443" i="3" s="1"/>
  <c r="B442" i="3"/>
  <c r="C442" i="3" s="1"/>
  <c r="B441" i="3"/>
  <c r="C441" i="3" s="1"/>
  <c r="B440" i="3"/>
  <c r="C440" i="3" s="1"/>
  <c r="B439" i="3"/>
  <c r="C439" i="3" s="1"/>
  <c r="B438" i="3"/>
  <c r="C438" i="3" s="1"/>
  <c r="B437" i="3"/>
  <c r="C437" i="3" s="1"/>
  <c r="B436" i="3"/>
  <c r="C436" i="3" s="1"/>
  <c r="B435" i="3"/>
  <c r="C435" i="3" s="1"/>
  <c r="B434" i="3"/>
  <c r="C434" i="3" s="1"/>
  <c r="B433" i="3"/>
  <c r="C433" i="3" s="1"/>
  <c r="B432" i="3"/>
  <c r="C432" i="3" s="1"/>
  <c r="B431" i="3"/>
  <c r="C431" i="3" s="1"/>
  <c r="B430" i="3"/>
  <c r="C430" i="3" s="1"/>
  <c r="B429" i="3"/>
  <c r="C429" i="3" s="1"/>
  <c r="B428" i="3"/>
  <c r="C428" i="3" s="1"/>
  <c r="B427" i="3"/>
  <c r="C427" i="3" s="1"/>
  <c r="B426" i="3"/>
  <c r="C426" i="3" s="1"/>
  <c r="C425" i="3"/>
  <c r="B425" i="3"/>
  <c r="B424" i="3"/>
  <c r="C424" i="3" s="1"/>
  <c r="B423" i="3"/>
  <c r="C423" i="3" s="1"/>
  <c r="B422" i="3"/>
  <c r="C422" i="3" s="1"/>
  <c r="B421" i="3"/>
  <c r="C421" i="3" s="1"/>
  <c r="B420" i="3"/>
  <c r="C420" i="3" s="1"/>
  <c r="B419" i="3"/>
  <c r="C419" i="3" s="1"/>
  <c r="B418" i="3"/>
  <c r="C418" i="3" s="1"/>
  <c r="B417" i="3"/>
  <c r="C417" i="3" s="1"/>
  <c r="B416" i="3"/>
  <c r="C416" i="3" s="1"/>
  <c r="B415" i="3"/>
  <c r="C415" i="3" s="1"/>
  <c r="B414" i="3"/>
  <c r="C414" i="3" s="1"/>
  <c r="B413" i="3"/>
  <c r="C413" i="3" s="1"/>
  <c r="B412" i="3"/>
  <c r="C412" i="3" s="1"/>
  <c r="B411" i="3"/>
  <c r="C411" i="3" s="1"/>
  <c r="B410" i="3"/>
  <c r="C410" i="3" s="1"/>
  <c r="B409" i="3"/>
  <c r="C409" i="3" s="1"/>
  <c r="B408" i="3"/>
  <c r="C408" i="3" s="1"/>
  <c r="B407" i="3"/>
  <c r="C407" i="3" s="1"/>
  <c r="B406" i="3"/>
  <c r="C406" i="3" s="1"/>
  <c r="B405" i="3"/>
  <c r="C405" i="3" s="1"/>
  <c r="B404" i="3"/>
  <c r="C404" i="3" s="1"/>
  <c r="B403" i="3"/>
  <c r="C403" i="3" s="1"/>
  <c r="B402" i="3"/>
  <c r="C402" i="3" s="1"/>
  <c r="B401" i="3"/>
  <c r="C401" i="3" s="1"/>
  <c r="B400" i="3"/>
  <c r="C400" i="3" s="1"/>
  <c r="B399" i="3"/>
  <c r="C399" i="3" s="1"/>
  <c r="B398" i="3"/>
  <c r="C398" i="3" s="1"/>
  <c r="B397" i="3"/>
  <c r="C397" i="3" s="1"/>
  <c r="B396" i="3"/>
  <c r="C396" i="3" s="1"/>
  <c r="B395" i="3"/>
  <c r="C395" i="3" s="1"/>
  <c r="B394" i="3"/>
  <c r="C394" i="3" s="1"/>
  <c r="C393" i="3"/>
  <c r="B393" i="3"/>
  <c r="B392" i="3"/>
  <c r="C392" i="3" s="1"/>
  <c r="B391" i="3"/>
  <c r="C391" i="3" s="1"/>
  <c r="B390" i="3"/>
  <c r="C390" i="3" s="1"/>
  <c r="B389" i="3"/>
  <c r="C389" i="3" s="1"/>
  <c r="B388" i="3"/>
  <c r="C388" i="3" s="1"/>
  <c r="B387" i="3"/>
  <c r="C387" i="3" s="1"/>
  <c r="B386" i="3"/>
  <c r="C386" i="3" s="1"/>
  <c r="B385" i="3"/>
  <c r="C385" i="3" s="1"/>
  <c r="B384" i="3"/>
  <c r="C384" i="3" s="1"/>
  <c r="B383" i="3"/>
  <c r="C383" i="3" s="1"/>
  <c r="B382" i="3"/>
  <c r="C382" i="3" s="1"/>
  <c r="B381" i="3"/>
  <c r="C381" i="3" s="1"/>
  <c r="B380" i="3"/>
  <c r="C380" i="3" s="1"/>
  <c r="B379" i="3"/>
  <c r="C379" i="3" s="1"/>
  <c r="B378" i="3"/>
  <c r="C378" i="3" s="1"/>
  <c r="B377" i="3"/>
  <c r="C377" i="3" s="1"/>
  <c r="B376" i="3"/>
  <c r="C376" i="3" s="1"/>
  <c r="B375" i="3"/>
  <c r="C375" i="3" s="1"/>
  <c r="B374" i="3"/>
  <c r="C374" i="3" s="1"/>
  <c r="B373" i="3"/>
  <c r="C373" i="3" s="1"/>
  <c r="B372" i="3"/>
  <c r="C372" i="3" s="1"/>
  <c r="B371" i="3"/>
  <c r="C371" i="3" s="1"/>
  <c r="B370" i="3"/>
  <c r="C370" i="3" s="1"/>
  <c r="B369" i="3"/>
  <c r="C369" i="3" s="1"/>
  <c r="B368" i="3"/>
  <c r="C368" i="3" s="1"/>
  <c r="B367" i="3"/>
  <c r="C367" i="3" s="1"/>
  <c r="B366" i="3"/>
  <c r="C366" i="3" s="1"/>
  <c r="B365" i="3"/>
  <c r="C365" i="3" s="1"/>
  <c r="B364" i="3"/>
  <c r="C364" i="3" s="1"/>
  <c r="B363" i="3"/>
  <c r="C363" i="3" s="1"/>
  <c r="B362" i="3"/>
  <c r="C362" i="3" s="1"/>
  <c r="C361" i="3"/>
  <c r="B361" i="3"/>
  <c r="B360" i="3"/>
  <c r="C360" i="3" s="1"/>
  <c r="B359" i="3"/>
  <c r="C359" i="3" s="1"/>
  <c r="B358" i="3"/>
  <c r="C358" i="3" s="1"/>
  <c r="B357" i="3"/>
  <c r="C357" i="3" s="1"/>
  <c r="B356" i="3"/>
  <c r="C356" i="3" s="1"/>
  <c r="B355" i="3"/>
  <c r="C355" i="3" s="1"/>
  <c r="B354" i="3"/>
  <c r="C354" i="3" s="1"/>
  <c r="B353" i="3"/>
  <c r="C353" i="3" s="1"/>
  <c r="B352" i="3"/>
  <c r="C352" i="3" s="1"/>
  <c r="B351" i="3"/>
  <c r="C351" i="3" s="1"/>
  <c r="B350" i="3"/>
  <c r="C350" i="3" s="1"/>
  <c r="B349" i="3"/>
  <c r="C349" i="3" s="1"/>
  <c r="B348" i="3"/>
  <c r="C348" i="3" s="1"/>
  <c r="B347" i="3"/>
  <c r="C347" i="3" s="1"/>
  <c r="B346" i="3"/>
  <c r="C346" i="3" s="1"/>
  <c r="B345" i="3"/>
  <c r="C345" i="3" s="1"/>
  <c r="B344" i="3"/>
  <c r="C344" i="3" s="1"/>
  <c r="B343" i="3"/>
  <c r="C343" i="3" s="1"/>
  <c r="B342" i="3"/>
  <c r="C342" i="3" s="1"/>
  <c r="B341" i="3"/>
  <c r="C341" i="3" s="1"/>
  <c r="B340" i="3"/>
  <c r="C340" i="3" s="1"/>
  <c r="B339" i="3"/>
  <c r="C339" i="3" s="1"/>
  <c r="B338" i="3"/>
  <c r="C338" i="3" s="1"/>
  <c r="B337" i="3"/>
  <c r="C337" i="3" s="1"/>
  <c r="B336" i="3"/>
  <c r="C336" i="3" s="1"/>
  <c r="B335" i="3"/>
  <c r="C335" i="3" s="1"/>
  <c r="B334" i="3"/>
  <c r="C334" i="3" s="1"/>
  <c r="B333" i="3"/>
  <c r="C333" i="3" s="1"/>
  <c r="B332" i="3"/>
  <c r="C332" i="3" s="1"/>
  <c r="B331" i="3"/>
  <c r="C331" i="3" s="1"/>
  <c r="B330" i="3"/>
  <c r="C330" i="3" s="1"/>
  <c r="C329" i="3"/>
  <c r="B329" i="3"/>
  <c r="B328" i="3"/>
  <c r="C328" i="3" s="1"/>
  <c r="B327" i="3"/>
  <c r="C327" i="3" s="1"/>
  <c r="B326" i="3"/>
  <c r="C326" i="3" s="1"/>
  <c r="B325" i="3"/>
  <c r="C325" i="3" s="1"/>
  <c r="B324" i="3"/>
  <c r="C324" i="3" s="1"/>
  <c r="B323" i="3"/>
  <c r="C323" i="3" s="1"/>
  <c r="B322" i="3"/>
  <c r="C322" i="3" s="1"/>
  <c r="B321" i="3"/>
  <c r="C321" i="3" s="1"/>
  <c r="B320" i="3"/>
  <c r="C320" i="3" s="1"/>
  <c r="B319" i="3"/>
  <c r="C319" i="3" s="1"/>
  <c r="B318" i="3"/>
  <c r="C318" i="3" s="1"/>
  <c r="B317" i="3"/>
  <c r="C317" i="3" s="1"/>
  <c r="B316" i="3"/>
  <c r="C316" i="3" s="1"/>
  <c r="B315" i="3"/>
  <c r="C315" i="3" s="1"/>
  <c r="B314" i="3"/>
  <c r="C314" i="3" s="1"/>
  <c r="B313" i="3"/>
  <c r="C313" i="3" s="1"/>
  <c r="B312" i="3"/>
  <c r="C312" i="3" s="1"/>
  <c r="B311" i="3"/>
  <c r="C311" i="3" s="1"/>
  <c r="B310" i="3"/>
  <c r="C310" i="3" s="1"/>
  <c r="B309" i="3"/>
  <c r="C309" i="3" s="1"/>
  <c r="B308" i="3"/>
  <c r="C308" i="3" s="1"/>
  <c r="B307" i="3"/>
  <c r="C307" i="3" s="1"/>
  <c r="B306" i="3"/>
  <c r="C306" i="3" s="1"/>
  <c r="B305" i="3"/>
  <c r="C305" i="3" s="1"/>
  <c r="B304" i="3"/>
  <c r="C304" i="3" s="1"/>
  <c r="B303" i="3"/>
  <c r="C303" i="3" s="1"/>
  <c r="B302" i="3"/>
  <c r="C302" i="3" s="1"/>
  <c r="B301" i="3"/>
  <c r="C301" i="3" s="1"/>
  <c r="B300" i="3"/>
  <c r="C300" i="3" s="1"/>
  <c r="B299" i="3"/>
  <c r="C299" i="3" s="1"/>
  <c r="B298" i="3"/>
  <c r="C298" i="3" s="1"/>
  <c r="C297" i="3"/>
  <c r="B297" i="3"/>
  <c r="B296" i="3"/>
  <c r="C296" i="3" s="1"/>
  <c r="B295" i="3"/>
  <c r="C295" i="3" s="1"/>
  <c r="B294" i="3"/>
  <c r="C294" i="3" s="1"/>
  <c r="B293" i="3"/>
  <c r="C293" i="3" s="1"/>
  <c r="B292" i="3"/>
  <c r="C292" i="3" s="1"/>
  <c r="B291" i="3"/>
  <c r="C291" i="3" s="1"/>
  <c r="B290" i="3"/>
  <c r="C290" i="3" s="1"/>
  <c r="B289" i="3"/>
  <c r="C289" i="3" s="1"/>
  <c r="B288" i="3"/>
  <c r="C288" i="3" s="1"/>
  <c r="B287" i="3"/>
  <c r="C287" i="3" s="1"/>
  <c r="B286" i="3"/>
  <c r="C286" i="3" s="1"/>
  <c r="B285" i="3"/>
  <c r="C285" i="3" s="1"/>
  <c r="B284" i="3"/>
  <c r="C284" i="3" s="1"/>
  <c r="B283" i="3"/>
  <c r="C283" i="3" s="1"/>
  <c r="B282" i="3"/>
  <c r="C282" i="3" s="1"/>
  <c r="B281" i="3"/>
  <c r="C281" i="3" s="1"/>
  <c r="B280" i="3"/>
  <c r="C280" i="3" s="1"/>
  <c r="B279" i="3"/>
  <c r="C279" i="3" s="1"/>
  <c r="B278" i="3"/>
  <c r="C278" i="3" s="1"/>
  <c r="B277" i="3"/>
  <c r="C277" i="3" s="1"/>
  <c r="B276" i="3"/>
  <c r="C276" i="3" s="1"/>
  <c r="B275" i="3"/>
  <c r="C275" i="3" s="1"/>
  <c r="B274" i="3"/>
  <c r="C274" i="3" s="1"/>
  <c r="B273" i="3"/>
  <c r="C273" i="3" s="1"/>
  <c r="B272" i="3"/>
  <c r="C272" i="3" s="1"/>
  <c r="B271" i="3"/>
  <c r="C271" i="3" s="1"/>
  <c r="B270" i="3"/>
  <c r="C270" i="3" s="1"/>
  <c r="B269" i="3"/>
  <c r="C269" i="3" s="1"/>
  <c r="B268" i="3"/>
  <c r="C268" i="3" s="1"/>
  <c r="B267" i="3"/>
  <c r="C267" i="3" s="1"/>
  <c r="B266" i="3"/>
  <c r="C266" i="3" s="1"/>
  <c r="C265" i="3"/>
  <c r="B265" i="3"/>
  <c r="B264" i="3"/>
  <c r="C264" i="3" s="1"/>
  <c r="B263" i="3"/>
  <c r="C263" i="3" s="1"/>
  <c r="B262" i="3"/>
  <c r="C262" i="3" s="1"/>
  <c r="B261" i="3"/>
  <c r="C261" i="3" s="1"/>
  <c r="B260" i="3"/>
  <c r="C260" i="3" s="1"/>
  <c r="B259" i="3"/>
  <c r="C259" i="3" s="1"/>
  <c r="B258" i="3"/>
  <c r="C258" i="3" s="1"/>
  <c r="B257" i="3"/>
  <c r="C257" i="3" s="1"/>
  <c r="B256" i="3"/>
  <c r="C256" i="3" s="1"/>
  <c r="B255" i="3"/>
  <c r="C255" i="3" s="1"/>
  <c r="B254" i="3"/>
  <c r="C254" i="3" s="1"/>
  <c r="B253" i="3"/>
  <c r="C253" i="3" s="1"/>
  <c r="B252" i="3"/>
  <c r="C252" i="3" s="1"/>
  <c r="B251" i="3"/>
  <c r="C251" i="3" s="1"/>
  <c r="B250" i="3"/>
  <c r="C250" i="3" s="1"/>
  <c r="B249" i="3"/>
  <c r="C249" i="3" s="1"/>
  <c r="B248" i="3"/>
  <c r="C248" i="3" s="1"/>
  <c r="B247" i="3"/>
  <c r="C247" i="3" s="1"/>
  <c r="B246" i="3"/>
  <c r="C246" i="3" s="1"/>
  <c r="B245" i="3"/>
  <c r="C245" i="3" s="1"/>
  <c r="B244" i="3"/>
  <c r="C244" i="3" s="1"/>
  <c r="B243" i="3"/>
  <c r="C243" i="3" s="1"/>
  <c r="B242" i="3"/>
  <c r="C242" i="3" s="1"/>
  <c r="B241" i="3"/>
  <c r="C241" i="3" s="1"/>
  <c r="B240" i="3"/>
  <c r="C240" i="3" s="1"/>
  <c r="B239" i="3"/>
  <c r="C239" i="3" s="1"/>
  <c r="B238" i="3"/>
  <c r="C238" i="3" s="1"/>
  <c r="B237" i="3"/>
  <c r="C237" i="3" s="1"/>
  <c r="B236" i="3"/>
  <c r="C236" i="3" s="1"/>
  <c r="B235" i="3"/>
  <c r="C235" i="3" s="1"/>
  <c r="B234" i="3"/>
  <c r="C234" i="3" s="1"/>
  <c r="C233" i="3"/>
  <c r="B233" i="3"/>
  <c r="B232" i="3"/>
  <c r="C232" i="3" s="1"/>
  <c r="B231" i="3"/>
  <c r="C231" i="3" s="1"/>
  <c r="B230" i="3"/>
  <c r="C230" i="3" s="1"/>
  <c r="B229" i="3"/>
  <c r="C229" i="3" s="1"/>
  <c r="B228" i="3"/>
  <c r="C228" i="3" s="1"/>
  <c r="B227" i="3"/>
  <c r="C227" i="3" s="1"/>
  <c r="B226" i="3"/>
  <c r="C226" i="3" s="1"/>
  <c r="B225" i="3"/>
  <c r="C225" i="3" s="1"/>
  <c r="B224" i="3"/>
  <c r="C224" i="3" s="1"/>
  <c r="B223" i="3"/>
  <c r="C223" i="3" s="1"/>
  <c r="B222" i="3"/>
  <c r="C222" i="3" s="1"/>
  <c r="B221" i="3"/>
  <c r="C221" i="3" s="1"/>
  <c r="B220" i="3"/>
  <c r="C220" i="3" s="1"/>
  <c r="B219" i="3"/>
  <c r="C219" i="3" s="1"/>
  <c r="B218" i="3"/>
  <c r="C218" i="3" s="1"/>
  <c r="B217" i="3"/>
  <c r="C217" i="3" s="1"/>
  <c r="B216" i="3"/>
  <c r="C216" i="3" s="1"/>
  <c r="B215" i="3"/>
  <c r="C215" i="3" s="1"/>
  <c r="B214" i="3"/>
  <c r="C214" i="3" s="1"/>
  <c r="B213" i="3"/>
  <c r="C213" i="3" s="1"/>
  <c r="B212" i="3"/>
  <c r="C212" i="3" s="1"/>
  <c r="B211" i="3"/>
  <c r="C211" i="3" s="1"/>
  <c r="B210" i="3"/>
  <c r="C210" i="3" s="1"/>
  <c r="B209" i="3"/>
  <c r="C209" i="3" s="1"/>
  <c r="B208" i="3"/>
  <c r="C208" i="3" s="1"/>
  <c r="B207" i="3"/>
  <c r="C207" i="3" s="1"/>
  <c r="B206" i="3"/>
  <c r="C206" i="3" s="1"/>
  <c r="B205" i="3"/>
  <c r="C205" i="3" s="1"/>
  <c r="B204" i="3"/>
  <c r="C204" i="3" s="1"/>
  <c r="B203" i="3"/>
  <c r="C203" i="3" s="1"/>
  <c r="B202" i="3"/>
  <c r="C202" i="3" s="1"/>
  <c r="B201" i="3"/>
  <c r="C201" i="3" s="1"/>
  <c r="B200" i="3"/>
  <c r="C200" i="3" s="1"/>
  <c r="B199" i="3"/>
  <c r="C199" i="3" s="1"/>
  <c r="B198" i="3"/>
  <c r="C198" i="3" s="1"/>
  <c r="B197" i="3"/>
  <c r="C197" i="3" s="1"/>
  <c r="B196" i="3"/>
  <c r="C196" i="3" s="1"/>
  <c r="B195" i="3"/>
  <c r="C195" i="3" s="1"/>
  <c r="B194" i="3"/>
  <c r="C194" i="3" s="1"/>
  <c r="B193" i="3"/>
  <c r="C193" i="3" s="1"/>
  <c r="B192" i="3"/>
  <c r="C192" i="3" s="1"/>
  <c r="B191" i="3"/>
  <c r="C191" i="3" s="1"/>
  <c r="B190" i="3"/>
  <c r="C190" i="3" s="1"/>
  <c r="B189" i="3"/>
  <c r="C189" i="3" s="1"/>
  <c r="B188" i="3"/>
  <c r="C188" i="3" s="1"/>
  <c r="B187" i="3"/>
  <c r="C187" i="3" s="1"/>
  <c r="B186" i="3"/>
  <c r="C186" i="3" s="1"/>
  <c r="B185" i="3"/>
  <c r="C185" i="3" s="1"/>
  <c r="B184" i="3"/>
  <c r="C184" i="3" s="1"/>
  <c r="B183" i="3"/>
  <c r="C183" i="3" s="1"/>
  <c r="B182" i="3"/>
  <c r="C182" i="3" s="1"/>
  <c r="B181" i="3"/>
  <c r="C181" i="3" s="1"/>
  <c r="B180" i="3"/>
  <c r="C180" i="3" s="1"/>
  <c r="B179" i="3"/>
  <c r="C179" i="3" s="1"/>
  <c r="B178" i="3"/>
  <c r="C178" i="3" s="1"/>
  <c r="B177" i="3"/>
  <c r="C177" i="3" s="1"/>
  <c r="B176" i="3"/>
  <c r="C176" i="3" s="1"/>
  <c r="B175" i="3"/>
  <c r="C175" i="3" s="1"/>
  <c r="B174" i="3"/>
  <c r="C174" i="3" s="1"/>
  <c r="B173" i="3"/>
  <c r="C173" i="3" s="1"/>
  <c r="B172" i="3"/>
  <c r="C172" i="3" s="1"/>
  <c r="B171" i="3"/>
  <c r="C171" i="3" s="1"/>
  <c r="B170" i="3"/>
  <c r="C170" i="3" s="1"/>
  <c r="B169" i="3"/>
  <c r="C169" i="3" s="1"/>
  <c r="B168" i="3"/>
  <c r="C168" i="3" s="1"/>
  <c r="B167" i="3"/>
  <c r="C167" i="3" s="1"/>
  <c r="B166" i="3"/>
  <c r="C166" i="3" s="1"/>
  <c r="B165" i="3"/>
  <c r="C165" i="3" s="1"/>
  <c r="B164" i="3"/>
  <c r="C164" i="3" s="1"/>
  <c r="B163" i="3"/>
  <c r="C163" i="3" s="1"/>
  <c r="B162" i="3"/>
  <c r="C162" i="3" s="1"/>
  <c r="B161" i="3"/>
  <c r="C161" i="3" s="1"/>
  <c r="B160" i="3"/>
  <c r="C160" i="3" s="1"/>
  <c r="B159" i="3"/>
  <c r="C159" i="3" s="1"/>
  <c r="B158" i="3"/>
  <c r="C158" i="3" s="1"/>
  <c r="B157" i="3"/>
  <c r="C157" i="3" s="1"/>
  <c r="B156" i="3"/>
  <c r="C156" i="3" s="1"/>
  <c r="B155" i="3"/>
  <c r="C155" i="3" s="1"/>
  <c r="B154" i="3"/>
  <c r="C154" i="3" s="1"/>
  <c r="B153" i="3"/>
  <c r="C153" i="3" s="1"/>
  <c r="B152" i="3"/>
  <c r="C152" i="3" s="1"/>
  <c r="B151" i="3"/>
  <c r="C151" i="3" s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C142" i="3" s="1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C131" i="3" s="1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C119" i="3" s="1"/>
  <c r="B118" i="3"/>
  <c r="C118" i="3" s="1"/>
  <c r="B117" i="3"/>
  <c r="C117" i="3" s="1"/>
  <c r="B116" i="3"/>
  <c r="C116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F8" i="3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G5" i="3" l="1"/>
  <c r="F27" i="3"/>
  <c r="F26" i="3"/>
  <c r="B759" i="3"/>
  <c r="C759" i="3" s="1"/>
  <c r="B762" i="3"/>
  <c r="C762" i="3" s="1"/>
  <c r="B766" i="3"/>
  <c r="C766" i="3" s="1"/>
  <c r="B769" i="3"/>
  <c r="C769" i="3" s="1"/>
  <c r="B773" i="3"/>
  <c r="C773" i="3" s="1"/>
  <c r="B780" i="3"/>
  <c r="C780" i="3" s="1"/>
  <c r="B784" i="3"/>
  <c r="C784" i="3" s="1"/>
  <c r="B787" i="3"/>
  <c r="C787" i="3" s="1"/>
  <c r="B791" i="3"/>
  <c r="C791" i="3" s="1"/>
  <c r="B794" i="3"/>
  <c r="C794" i="3" s="1"/>
  <c r="B798" i="3"/>
  <c r="C798" i="3" s="1"/>
  <c r="B801" i="3"/>
  <c r="C801" i="3" s="1"/>
  <c r="B804" i="3"/>
  <c r="C804" i="3" s="1"/>
  <c r="B809" i="3"/>
  <c r="C809" i="3" s="1"/>
  <c r="B812" i="3"/>
  <c r="C812" i="3" s="1"/>
  <c r="B817" i="3"/>
  <c r="C817" i="3" s="1"/>
  <c r="B820" i="3"/>
  <c r="C820" i="3" s="1"/>
  <c r="B825" i="3"/>
  <c r="C825" i="3" s="1"/>
  <c r="B828" i="3"/>
  <c r="C828" i="3" s="1"/>
  <c r="B833" i="3"/>
  <c r="C833" i="3" s="1"/>
  <c r="B836" i="3"/>
  <c r="C836" i="3" s="1"/>
  <c r="B841" i="3"/>
  <c r="C841" i="3" s="1"/>
  <c r="B844" i="3"/>
  <c r="C844" i="3" s="1"/>
  <c r="B849" i="3"/>
  <c r="C849" i="3" s="1"/>
  <c r="B852" i="3"/>
  <c r="C852" i="3" s="1"/>
  <c r="B857" i="3"/>
  <c r="C857" i="3" s="1"/>
  <c r="B860" i="3"/>
  <c r="C860" i="3" s="1"/>
  <c r="B865" i="3"/>
  <c r="C865" i="3" s="1"/>
  <c r="B868" i="3"/>
  <c r="C868" i="3" s="1"/>
  <c r="B873" i="3"/>
  <c r="C873" i="3" s="1"/>
  <c r="B876" i="3"/>
  <c r="C876" i="3" s="1"/>
  <c r="B881" i="3"/>
  <c r="C881" i="3" s="1"/>
  <c r="B885" i="3"/>
  <c r="C885" i="3" s="1"/>
  <c r="B888" i="3"/>
  <c r="C888" i="3" s="1"/>
  <c r="B892" i="3"/>
  <c r="C892" i="3" s="1"/>
  <c r="B896" i="3"/>
  <c r="C896" i="3" s="1"/>
  <c r="B900" i="3"/>
  <c r="C900" i="3" s="1"/>
  <c r="B904" i="3"/>
  <c r="C904" i="3" s="1"/>
  <c r="B908" i="3"/>
  <c r="C908" i="3" s="1"/>
  <c r="B912" i="3"/>
  <c r="C912" i="3" s="1"/>
  <c r="B916" i="3"/>
  <c r="C916" i="3" s="1"/>
  <c r="B920" i="3"/>
  <c r="C920" i="3" s="1"/>
  <c r="B924" i="3"/>
  <c r="C924" i="3" s="1"/>
  <c r="B928" i="3"/>
  <c r="C928" i="3" s="1"/>
  <c r="B932" i="3"/>
  <c r="C932" i="3" s="1"/>
  <c r="B936" i="3"/>
  <c r="C936" i="3" s="1"/>
  <c r="B940" i="3"/>
  <c r="C940" i="3" s="1"/>
  <c r="B944" i="3"/>
  <c r="C944" i="3" s="1"/>
  <c r="B948" i="3"/>
  <c r="C948" i="3" s="1"/>
  <c r="B952" i="3"/>
  <c r="C952" i="3" s="1"/>
  <c r="B956" i="3"/>
  <c r="C956" i="3" s="1"/>
  <c r="B960" i="3"/>
  <c r="C960" i="3" s="1"/>
  <c r="B964" i="3"/>
  <c r="C964" i="3" s="1"/>
  <c r="B968" i="3"/>
  <c r="C968" i="3" s="1"/>
  <c r="B972" i="3"/>
  <c r="C972" i="3" s="1"/>
  <c r="B976" i="3"/>
  <c r="C976" i="3" s="1"/>
  <c r="B980" i="3"/>
  <c r="C980" i="3" s="1"/>
  <c r="B984" i="3"/>
  <c r="C984" i="3" s="1"/>
  <c r="B988" i="3"/>
  <c r="C988" i="3" s="1"/>
  <c r="B992" i="3"/>
  <c r="C992" i="3" s="1"/>
  <c r="B996" i="3"/>
  <c r="C996" i="3" s="1"/>
  <c r="B1000" i="3"/>
  <c r="C1000" i="3" s="1"/>
  <c r="B1004" i="3"/>
  <c r="C1004" i="3" s="1"/>
  <c r="B1008" i="3"/>
  <c r="C1008" i="3" s="1"/>
  <c r="B1012" i="3"/>
  <c r="C1012" i="3" s="1"/>
  <c r="B1016" i="3"/>
  <c r="C1016" i="3" s="1"/>
  <c r="B1020" i="3"/>
  <c r="C1020" i="3" s="1"/>
  <c r="B1024" i="3"/>
  <c r="C1024" i="3" s="1"/>
  <c r="B1028" i="3"/>
  <c r="C1028" i="3" s="1"/>
  <c r="B1032" i="3"/>
  <c r="C1032" i="3" s="1"/>
  <c r="B1036" i="3"/>
  <c r="C1036" i="3" s="1"/>
  <c r="B1040" i="3"/>
  <c r="C1040" i="3" s="1"/>
  <c r="B1044" i="3"/>
  <c r="C1044" i="3" s="1"/>
  <c r="B1048" i="3"/>
  <c r="C1048" i="3" s="1"/>
  <c r="B760" i="3"/>
  <c r="C760" i="3" s="1"/>
  <c r="B763" i="3"/>
  <c r="C763" i="3" s="1"/>
  <c r="B767" i="3"/>
  <c r="C767" i="3" s="1"/>
  <c r="B770" i="3"/>
  <c r="C770" i="3" s="1"/>
  <c r="B774" i="3"/>
  <c r="C774" i="3" s="1"/>
  <c r="B777" i="3"/>
  <c r="C777" i="3" s="1"/>
  <c r="B781" i="3"/>
  <c r="C781" i="3" s="1"/>
  <c r="B788" i="3"/>
  <c r="C788" i="3" s="1"/>
  <c r="B792" i="3"/>
  <c r="C792" i="3" s="1"/>
  <c r="B795" i="3"/>
  <c r="C795" i="3" s="1"/>
  <c r="B799" i="3"/>
  <c r="C799" i="3" s="1"/>
  <c r="B802" i="3"/>
  <c r="C802" i="3" s="1"/>
  <c r="B807" i="3"/>
  <c r="C807" i="3" s="1"/>
  <c r="B810" i="3"/>
  <c r="C810" i="3" s="1"/>
  <c r="B815" i="3"/>
  <c r="C815" i="3" s="1"/>
  <c r="B818" i="3"/>
  <c r="C818" i="3" s="1"/>
  <c r="B823" i="3"/>
  <c r="C823" i="3" s="1"/>
  <c r="B826" i="3"/>
  <c r="C826" i="3" s="1"/>
  <c r="B831" i="3"/>
  <c r="C831" i="3" s="1"/>
  <c r="B834" i="3"/>
  <c r="C834" i="3" s="1"/>
  <c r="B839" i="3"/>
  <c r="C839" i="3" s="1"/>
  <c r="B842" i="3"/>
  <c r="C842" i="3" s="1"/>
  <c r="B847" i="3"/>
  <c r="C847" i="3" s="1"/>
  <c r="B850" i="3"/>
  <c r="C850" i="3" s="1"/>
  <c r="B855" i="3"/>
  <c r="C855" i="3" s="1"/>
  <c r="B858" i="3"/>
  <c r="C858" i="3" s="1"/>
  <c r="B863" i="3"/>
  <c r="C863" i="3" s="1"/>
  <c r="B866" i="3"/>
  <c r="C866" i="3" s="1"/>
  <c r="B871" i="3"/>
  <c r="C871" i="3" s="1"/>
  <c r="B874" i="3"/>
  <c r="C874" i="3" s="1"/>
  <c r="B879" i="3"/>
  <c r="C879" i="3" s="1"/>
  <c r="B882" i="3"/>
  <c r="C882" i="3" s="1"/>
  <c r="B889" i="3"/>
  <c r="C889" i="3" s="1"/>
  <c r="B893" i="3"/>
  <c r="C893" i="3" s="1"/>
  <c r="B897" i="3"/>
  <c r="C897" i="3" s="1"/>
  <c r="B901" i="3"/>
  <c r="C901" i="3" s="1"/>
  <c r="B905" i="3"/>
  <c r="C905" i="3" s="1"/>
  <c r="B909" i="3"/>
  <c r="C909" i="3" s="1"/>
  <c r="B913" i="3"/>
  <c r="C913" i="3" s="1"/>
  <c r="B917" i="3"/>
  <c r="C917" i="3" s="1"/>
  <c r="B921" i="3"/>
  <c r="C921" i="3" s="1"/>
  <c r="B925" i="3"/>
  <c r="C925" i="3" s="1"/>
  <c r="B929" i="3"/>
  <c r="C929" i="3" s="1"/>
  <c r="B933" i="3"/>
  <c r="C933" i="3" s="1"/>
  <c r="B937" i="3"/>
  <c r="C937" i="3" s="1"/>
  <c r="B941" i="3"/>
  <c r="C941" i="3" s="1"/>
  <c r="B945" i="3"/>
  <c r="C945" i="3" s="1"/>
  <c r="B949" i="3"/>
  <c r="C949" i="3" s="1"/>
  <c r="B953" i="3"/>
  <c r="C953" i="3" s="1"/>
  <c r="B957" i="3"/>
  <c r="C957" i="3" s="1"/>
  <c r="B961" i="3"/>
  <c r="C961" i="3" s="1"/>
  <c r="B965" i="3"/>
  <c r="C965" i="3" s="1"/>
  <c r="B969" i="3"/>
  <c r="C969" i="3" s="1"/>
  <c r="B973" i="3"/>
  <c r="C973" i="3" s="1"/>
  <c r="B977" i="3"/>
  <c r="C977" i="3" s="1"/>
  <c r="B981" i="3"/>
  <c r="C981" i="3" s="1"/>
  <c r="B985" i="3"/>
  <c r="C985" i="3" s="1"/>
  <c r="B989" i="3"/>
  <c r="C989" i="3" s="1"/>
  <c r="B993" i="3"/>
  <c r="C993" i="3" s="1"/>
  <c r="B997" i="3"/>
  <c r="C997" i="3" s="1"/>
  <c r="B1001" i="3"/>
  <c r="C1001" i="3" s="1"/>
  <c r="B1005" i="3"/>
  <c r="C1005" i="3" s="1"/>
  <c r="B1009" i="3"/>
  <c r="C1009" i="3" s="1"/>
  <c r="B1013" i="3"/>
  <c r="C1013" i="3" s="1"/>
  <c r="B1017" i="3"/>
  <c r="C1017" i="3" s="1"/>
  <c r="B1021" i="3"/>
  <c r="C1021" i="3" s="1"/>
  <c r="B1025" i="3"/>
  <c r="C1025" i="3" s="1"/>
  <c r="B1029" i="3"/>
  <c r="C1029" i="3" s="1"/>
  <c r="B1033" i="3"/>
  <c r="C1033" i="3" s="1"/>
  <c r="B1037" i="3"/>
  <c r="C1037" i="3" s="1"/>
  <c r="B1041" i="3"/>
  <c r="C1041" i="3" s="1"/>
  <c r="B1045" i="3"/>
  <c r="C1045" i="3" s="1"/>
  <c r="B1049" i="3"/>
  <c r="C1049" i="3" s="1"/>
  <c r="B768" i="3"/>
  <c r="C768" i="3" s="1"/>
  <c r="B771" i="3"/>
  <c r="C771" i="3" s="1"/>
  <c r="B775" i="3"/>
  <c r="C775" i="3" s="1"/>
  <c r="B778" i="3"/>
  <c r="C778" i="3" s="1"/>
  <c r="B782" i="3"/>
  <c r="C782" i="3" s="1"/>
  <c r="B785" i="3"/>
  <c r="C785" i="3" s="1"/>
  <c r="B789" i="3"/>
  <c r="C789" i="3" s="1"/>
  <c r="B796" i="3"/>
  <c r="C796" i="3" s="1"/>
  <c r="B800" i="3"/>
  <c r="C800" i="3" s="1"/>
  <c r="B805" i="3"/>
  <c r="C805" i="3" s="1"/>
  <c r="B808" i="3"/>
  <c r="C808" i="3" s="1"/>
  <c r="B813" i="3"/>
  <c r="C813" i="3" s="1"/>
  <c r="B816" i="3"/>
  <c r="C816" i="3" s="1"/>
  <c r="B821" i="3"/>
  <c r="C821" i="3" s="1"/>
  <c r="B824" i="3"/>
  <c r="C824" i="3" s="1"/>
  <c r="B829" i="3"/>
  <c r="C829" i="3" s="1"/>
  <c r="B832" i="3"/>
  <c r="C832" i="3" s="1"/>
  <c r="B837" i="3"/>
  <c r="C837" i="3" s="1"/>
  <c r="B840" i="3"/>
  <c r="C840" i="3" s="1"/>
  <c r="B845" i="3"/>
  <c r="C845" i="3" s="1"/>
  <c r="B848" i="3"/>
  <c r="C848" i="3" s="1"/>
  <c r="B853" i="3"/>
  <c r="C853" i="3" s="1"/>
  <c r="B856" i="3"/>
  <c r="C856" i="3" s="1"/>
  <c r="B861" i="3"/>
  <c r="C861" i="3" s="1"/>
  <c r="B864" i="3"/>
  <c r="C864" i="3" s="1"/>
  <c r="B869" i="3"/>
  <c r="C869" i="3" s="1"/>
  <c r="B872" i="3"/>
  <c r="C872" i="3" s="1"/>
  <c r="B877" i="3"/>
  <c r="C877" i="3" s="1"/>
  <c r="B880" i="3"/>
  <c r="C880" i="3" s="1"/>
  <c r="B883" i="3"/>
  <c r="C883" i="3" s="1"/>
  <c r="B886" i="3"/>
  <c r="C886" i="3" s="1"/>
  <c r="B890" i="3"/>
  <c r="C890" i="3" s="1"/>
  <c r="B894" i="3"/>
  <c r="C894" i="3" s="1"/>
  <c r="B898" i="3"/>
  <c r="C898" i="3" s="1"/>
  <c r="B902" i="3"/>
  <c r="C902" i="3" s="1"/>
  <c r="B906" i="3"/>
  <c r="C906" i="3" s="1"/>
  <c r="B910" i="3"/>
  <c r="C910" i="3" s="1"/>
  <c r="B914" i="3"/>
  <c r="C914" i="3" s="1"/>
  <c r="B918" i="3"/>
  <c r="C918" i="3" s="1"/>
  <c r="B922" i="3"/>
  <c r="C922" i="3" s="1"/>
  <c r="B926" i="3"/>
  <c r="C926" i="3" s="1"/>
  <c r="B930" i="3"/>
  <c r="C930" i="3" s="1"/>
  <c r="B934" i="3"/>
  <c r="C934" i="3" s="1"/>
  <c r="B938" i="3"/>
  <c r="C938" i="3" s="1"/>
  <c r="B942" i="3"/>
  <c r="C942" i="3" s="1"/>
  <c r="B946" i="3"/>
  <c r="C946" i="3" s="1"/>
  <c r="B950" i="3"/>
  <c r="C950" i="3" s="1"/>
  <c r="B954" i="3"/>
  <c r="C954" i="3" s="1"/>
  <c r="B958" i="3"/>
  <c r="C958" i="3" s="1"/>
  <c r="B962" i="3"/>
  <c r="C962" i="3" s="1"/>
  <c r="B966" i="3"/>
  <c r="C966" i="3" s="1"/>
  <c r="B970" i="3"/>
  <c r="C970" i="3" s="1"/>
  <c r="B974" i="3"/>
  <c r="C974" i="3" s="1"/>
  <c r="B978" i="3"/>
  <c r="C978" i="3" s="1"/>
  <c r="B982" i="3"/>
  <c r="C982" i="3" s="1"/>
  <c r="B986" i="3"/>
  <c r="C986" i="3" s="1"/>
  <c r="B990" i="3"/>
  <c r="C990" i="3" s="1"/>
  <c r="B994" i="3"/>
  <c r="C994" i="3" s="1"/>
  <c r="B998" i="3"/>
  <c r="C998" i="3" s="1"/>
  <c r="B1002" i="3"/>
  <c r="C1002" i="3" s="1"/>
  <c r="B1006" i="3"/>
  <c r="C1006" i="3" s="1"/>
  <c r="B1010" i="3"/>
  <c r="C1010" i="3" s="1"/>
  <c r="B1014" i="3"/>
  <c r="C1014" i="3" s="1"/>
  <c r="B1018" i="3"/>
  <c r="C1018" i="3" s="1"/>
  <c r="B1022" i="3"/>
  <c r="C1022" i="3" s="1"/>
  <c r="B1026" i="3"/>
  <c r="C1026" i="3" s="1"/>
  <c r="B1030" i="3"/>
  <c r="C1030" i="3" s="1"/>
  <c r="B1034" i="3"/>
  <c r="C1034" i="3" s="1"/>
  <c r="B1038" i="3"/>
  <c r="C1038" i="3" s="1"/>
  <c r="B1042" i="3"/>
  <c r="C1042" i="3" s="1"/>
  <c r="B1046" i="3"/>
  <c r="C1046" i="3" s="1"/>
  <c r="F12" i="3"/>
  <c r="E1" i="1"/>
  <c r="B3" i="1" l="1"/>
  <c r="C3" i="1" s="1"/>
  <c r="B19" i="1"/>
  <c r="C19" i="1" s="1"/>
  <c r="B7" i="1"/>
  <c r="C7" i="1" s="1"/>
  <c r="B23" i="1"/>
  <c r="C23" i="1" s="1"/>
  <c r="B11" i="1"/>
  <c r="C11" i="1" s="1"/>
  <c r="B15" i="1"/>
  <c r="C15" i="1" s="1"/>
  <c r="B4" i="1"/>
  <c r="C4" i="1" s="1"/>
  <c r="B8" i="1"/>
  <c r="C8" i="1" s="1"/>
  <c r="B12" i="1"/>
  <c r="C12" i="1" s="1"/>
  <c r="B16" i="1"/>
  <c r="C16" i="1" s="1"/>
  <c r="B20" i="1"/>
  <c r="C20" i="1" s="1"/>
  <c r="B24" i="1"/>
  <c r="C24" i="1" s="1"/>
  <c r="B5" i="1"/>
  <c r="C5" i="1" s="1"/>
  <c r="B9" i="1"/>
  <c r="C9" i="1" s="1"/>
  <c r="B13" i="1"/>
  <c r="C13" i="1" s="1"/>
  <c r="B17" i="1"/>
  <c r="C17" i="1" s="1"/>
  <c r="B21" i="1"/>
  <c r="C21" i="1" s="1"/>
  <c r="B25" i="1"/>
  <c r="C25" i="1" s="1"/>
  <c r="B2" i="1"/>
  <c r="C2" i="1" s="1"/>
  <c r="B6" i="1"/>
  <c r="C6" i="1" s="1"/>
  <c r="B10" i="1"/>
  <c r="C10" i="1" s="1"/>
  <c r="B14" i="1"/>
  <c r="C14" i="1" s="1"/>
  <c r="B18" i="1"/>
  <c r="C18" i="1" s="1"/>
  <c r="B22" i="1"/>
  <c r="C22" i="1" s="1"/>
  <c r="B5" i="3"/>
  <c r="C5" i="3" s="1"/>
  <c r="B7" i="3"/>
  <c r="C7" i="3" s="1"/>
  <c r="B8" i="3"/>
  <c r="C8" i="3" s="1"/>
  <c r="B6" i="3"/>
  <c r="C6" i="3" s="1"/>
  <c r="B3" i="3"/>
  <c r="C3" i="3" s="1"/>
  <c r="B4" i="3"/>
  <c r="C4" i="3" s="1"/>
  <c r="F3" i="3" l="1"/>
  <c r="F1" i="1"/>
  <c r="G1" i="1" s="1"/>
</calcChain>
</file>

<file path=xl/sharedStrings.xml><?xml version="1.0" encoding="utf-8"?>
<sst xmlns="http://schemas.openxmlformats.org/spreadsheetml/2006/main" count="33" uniqueCount="27">
  <si>
    <t>2. deviation (x-xbar)</t>
  </si>
  <si>
    <t>3. squared deviation (x-xbar)^2</t>
  </si>
  <si>
    <t>Timestamp</t>
  </si>
  <si>
    <t>Untitled Question</t>
  </si>
  <si>
    <t>NOTE: Data and instructions can be found on Sheet1.</t>
  </si>
  <si>
    <t>Congruent</t>
  </si>
  <si>
    <t>Incongruent</t>
  </si>
  <si>
    <t>X</t>
  </si>
  <si>
    <t>SD</t>
  </si>
  <si>
    <t>Mean</t>
  </si>
  <si>
    <t>Standard Deviation of sample</t>
  </si>
  <si>
    <t>Standard Deviation of population</t>
  </si>
  <si>
    <t>Sample Size</t>
  </si>
  <si>
    <t>Standard Deviation osample</t>
  </si>
  <si>
    <t>Standard Deviation of sampling distribution also called as standard error</t>
  </si>
  <si>
    <t>Z Score = X-Mean/SD</t>
  </si>
  <si>
    <t>Z ScoreX-Mean/ Standard Error</t>
  </si>
  <si>
    <t>Below is calculated from the data enetred in the column A</t>
  </si>
  <si>
    <t>Manual Calculatuion</t>
  </si>
  <si>
    <t>Size</t>
  </si>
  <si>
    <t>Sample Mean</t>
  </si>
  <si>
    <t>Z Score of Sample Mean (Sample Mean - Mean)/Standard Error</t>
  </si>
  <si>
    <t>SE (Sd/SQRT(Size)</t>
  </si>
  <si>
    <t>Z = (X-Mean)/ SD</t>
  </si>
  <si>
    <t>Z Score Propotion</t>
  </si>
  <si>
    <t>Z Score Standard Error Proportion</t>
  </si>
  <si>
    <t>Proportion of 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</si>
</sst>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name val="Arial"/>
    </font>
    <font>
      <sz val="10"/>
      <color rgb="FF000000"/>
      <name val="Verdana"/>
    </font>
    <font>
      <sz val="10"/>
      <name val="Arial"/>
    </font>
    <font>
      <sz val="10"/>
      <color rgb="FF000000"/>
      <name val="Verdan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Protection="1">
      <protection hidden="1"/>
    </xf>
    <xf numFmtId="0" fontId="4" fillId="0" borderId="1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2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151069</xdr:colOff>
      <xdr:row>89</xdr:row>
      <xdr:rowOff>35481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D9291-085E-487C-A3A2-D855FB1E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32429" cy="14277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5264-60FC-4058-9B92-4A4FD93D5AC1}">
  <sheetPr>
    <outlinePr summaryBelow="0" summaryRight="0"/>
  </sheetPr>
  <dimension ref="A1:H1050"/>
  <sheetViews>
    <sheetView tabSelected="1" workbookViewId="0">
      <pane ySplit="2" topLeftCell="A9" activePane="bottomLeft" state="frozen"/>
      <selection pane="bottomLeft" activeCell="F40" sqref="F40"/>
    </sheetView>
  </sheetViews>
  <sheetFormatPr defaultColWidth="14.44140625" defaultRowHeight="12.75" customHeight="1" x14ac:dyDescent="0.25"/>
  <cols>
    <col min="1" max="1" width="14.44140625" style="8"/>
    <col min="2" max="2" width="26.109375" customWidth="1"/>
    <col min="3" max="3" width="24.21875" customWidth="1"/>
    <col min="4" max="4" width="10.88671875" customWidth="1"/>
    <col min="5" max="5" width="23.109375" customWidth="1"/>
    <col min="6" max="6" width="31" customWidth="1"/>
    <col min="7" max="7" width="24.5546875" customWidth="1"/>
    <col min="8" max="8" width="31.33203125" customWidth="1"/>
  </cols>
  <sheetData>
    <row r="1" spans="1:8" ht="12.75" customHeight="1" x14ac:dyDescent="0.25">
      <c r="E1" t="s">
        <v>9</v>
      </c>
      <c r="G1" t="s">
        <v>10</v>
      </c>
    </row>
    <row r="2" spans="1:8" ht="12.75" customHeight="1" thickBot="1" x14ac:dyDescent="0.3">
      <c r="A2" s="7" t="s">
        <v>5</v>
      </c>
      <c r="B2" s="1" t="s">
        <v>0</v>
      </c>
      <c r="C2" s="1" t="s">
        <v>1</v>
      </c>
      <c r="E2" s="2">
        <f>AVERAGE(A:A)</f>
        <v>37.719054832538156</v>
      </c>
      <c r="F2" s="6">
        <f>AVERAGE(C:C)</f>
        <v>257.17441333477279</v>
      </c>
      <c r="G2" s="6">
        <f>SQRT(F2)</f>
        <v>16.036658421715316</v>
      </c>
      <c r="H2" s="11" t="s">
        <v>13</v>
      </c>
    </row>
    <row r="3" spans="1:8" ht="12.75" customHeight="1" thickBot="1" x14ac:dyDescent="0.3">
      <c r="A3" s="10">
        <v>25.10417915</v>
      </c>
      <c r="B3" s="5">
        <f>ABS(A3-$E$2)</f>
        <v>12.614875682538155</v>
      </c>
      <c r="C3" s="5">
        <f t="shared" ref="C3:C66" si="0">POWER(B3,2)</f>
        <v>159.13508848589248</v>
      </c>
      <c r="D3" s="5"/>
      <c r="E3" s="5"/>
      <c r="F3" s="5">
        <f>SUM(C3:C29)/(COUNT(A3:A29)-1)</f>
        <v>276.98180808462274</v>
      </c>
      <c r="G3">
        <f>SQRT(F3)</f>
        <v>16.642770444989704</v>
      </c>
      <c r="H3" t="s">
        <v>11</v>
      </c>
    </row>
    <row r="4" spans="1:8" ht="12.75" customHeight="1" thickBot="1" x14ac:dyDescent="0.3">
      <c r="A4" s="10">
        <v>60.908747099999999</v>
      </c>
      <c r="B4" s="5">
        <f>ABS(A4-$E$2)</f>
        <v>23.189692267461844</v>
      </c>
      <c r="C4" s="5">
        <f t="shared" si="0"/>
        <v>537.76182745957965</v>
      </c>
      <c r="D4" s="5"/>
      <c r="E4" s="5" t="s">
        <v>12</v>
      </c>
      <c r="F4" s="5">
        <v>250</v>
      </c>
      <c r="G4">
        <f>G2/SQRT(250)</f>
        <v>1.014247333414829</v>
      </c>
      <c r="H4" s="11" t="s">
        <v>14</v>
      </c>
    </row>
    <row r="5" spans="1:8" ht="12.75" customHeight="1" thickBot="1" x14ac:dyDescent="0.3">
      <c r="A5" s="10">
        <v>23.222237679999999</v>
      </c>
      <c r="B5" s="5">
        <f>ABS(A5-$E$2)</f>
        <v>14.496817152538156</v>
      </c>
      <c r="C5" s="5">
        <f t="shared" si="0"/>
        <v>210.1577075541245</v>
      </c>
      <c r="D5" s="5"/>
      <c r="E5" s="5"/>
      <c r="F5" s="5"/>
      <c r="G5">
        <f>E2-G4</f>
        <v>36.704807499123326</v>
      </c>
    </row>
    <row r="6" spans="1:8" ht="12.75" customHeight="1" thickBot="1" x14ac:dyDescent="0.3">
      <c r="A6" s="10">
        <v>51.553491180000002</v>
      </c>
      <c r="B6" s="5">
        <f>ABS(A6-$E$2)</f>
        <v>13.834436347461846</v>
      </c>
      <c r="C6" s="5">
        <f t="shared" si="0"/>
        <v>191.39162905197347</v>
      </c>
      <c r="D6" s="5"/>
      <c r="E6" s="5"/>
      <c r="F6" s="5"/>
    </row>
    <row r="7" spans="1:8" ht="12.75" customHeight="1" thickBot="1" x14ac:dyDescent="0.3">
      <c r="A7" s="10">
        <v>22.629690249999999</v>
      </c>
      <c r="B7" s="5">
        <f>ABS(A7-$E$2)</f>
        <v>15.089364582538156</v>
      </c>
      <c r="C7" s="5">
        <f t="shared" si="0"/>
        <v>227.6889235047569</v>
      </c>
      <c r="D7" s="5"/>
      <c r="E7" s="5">
        <v>11.25</v>
      </c>
      <c r="F7" s="5">
        <v>3.49</v>
      </c>
    </row>
    <row r="8" spans="1:8" ht="12.75" customHeight="1" thickBot="1" x14ac:dyDescent="0.3">
      <c r="A8" s="10">
        <v>53.338099130000003</v>
      </c>
      <c r="B8" s="5">
        <f>ABS(A8-$E$2)</f>
        <v>15.619044297461848</v>
      </c>
      <c r="C8" s="5">
        <f t="shared" si="0"/>
        <v>243.95454476607546</v>
      </c>
      <c r="D8" s="5"/>
      <c r="E8" s="5"/>
      <c r="F8" s="5">
        <f>3.49/SQRT(5)</f>
        <v>1.5607754482948533</v>
      </c>
    </row>
    <row r="9" spans="1:8" ht="12.75" customHeight="1" thickBot="1" x14ac:dyDescent="0.3">
      <c r="A9" s="10">
        <v>22.36088208</v>
      </c>
      <c r="B9" s="5">
        <f t="shared" ref="B9:B72" si="1">ABS(A9-$E$2)</f>
        <v>15.358172752538156</v>
      </c>
      <c r="C9" s="5">
        <f t="shared" si="0"/>
        <v>235.87347029680544</v>
      </c>
      <c r="D9" s="5"/>
      <c r="E9" s="5"/>
      <c r="F9" s="5"/>
    </row>
    <row r="10" spans="1:8" ht="12.75" customHeight="1" thickBot="1" x14ac:dyDescent="0.3">
      <c r="A10" s="10">
        <v>26.515078119999998</v>
      </c>
      <c r="B10" s="5">
        <f t="shared" si="1"/>
        <v>11.203976712538157</v>
      </c>
      <c r="C10" s="5">
        <f t="shared" si="0"/>
        <v>125.52909417509734</v>
      </c>
      <c r="D10" s="5"/>
      <c r="E10" s="5"/>
      <c r="F10" s="5"/>
    </row>
    <row r="11" spans="1:8" ht="12.75" customHeight="1" thickBot="1" x14ac:dyDescent="0.3">
      <c r="A11" s="10">
        <v>52.737316229999998</v>
      </c>
      <c r="B11" s="5">
        <f t="shared" si="1"/>
        <v>15.018261397461842</v>
      </c>
      <c r="C11" s="5">
        <f t="shared" si="0"/>
        <v>225.54817540249252</v>
      </c>
      <c r="D11" s="5"/>
      <c r="E11" s="5"/>
      <c r="F11" s="5"/>
    </row>
    <row r="12" spans="1:8" ht="12.75" customHeight="1" thickBot="1" x14ac:dyDescent="0.3">
      <c r="A12" s="10">
        <v>40.235151569999999</v>
      </c>
      <c r="B12" s="5">
        <f t="shared" si="1"/>
        <v>2.5160967374618437</v>
      </c>
      <c r="C12" s="5">
        <f t="shared" si="0"/>
        <v>6.3307427922661343</v>
      </c>
      <c r="D12" s="5"/>
      <c r="E12" s="5"/>
      <c r="F12" s="5">
        <f>18/27</f>
        <v>0.66666666666666663</v>
      </c>
    </row>
    <row r="13" spans="1:8" ht="12.75" customHeight="1" thickBot="1" x14ac:dyDescent="0.3">
      <c r="A13" s="10">
        <v>40.782193630000002</v>
      </c>
      <c r="B13" s="5">
        <f t="shared" si="1"/>
        <v>3.0631387974618463</v>
      </c>
      <c r="C13" s="5">
        <f t="shared" si="0"/>
        <v>9.3828192925160057</v>
      </c>
      <c r="D13" s="5"/>
      <c r="E13" s="5"/>
      <c r="F13" s="5"/>
    </row>
    <row r="14" spans="1:8" ht="12.75" customHeight="1" thickBot="1" x14ac:dyDescent="0.3">
      <c r="A14" s="10">
        <v>23.438752260000001</v>
      </c>
      <c r="B14" s="5">
        <f t="shared" si="1"/>
        <v>14.280302572538154</v>
      </c>
      <c r="C14" s="5">
        <f t="shared" si="0"/>
        <v>203.92704156323984</v>
      </c>
      <c r="D14" s="5"/>
      <c r="E14" s="5"/>
      <c r="F14" s="5"/>
    </row>
    <row r="15" spans="1:8" ht="12.75" customHeight="1" thickBot="1" x14ac:dyDescent="0.3">
      <c r="A15" s="10">
        <v>13.85616705</v>
      </c>
      <c r="B15" s="5">
        <f t="shared" si="1"/>
        <v>23.862887782538156</v>
      </c>
      <c r="C15" s="5">
        <f t="shared" si="0"/>
        <v>569.43741332200875</v>
      </c>
      <c r="D15" s="5"/>
      <c r="E15" s="5"/>
      <c r="F15" s="5"/>
    </row>
    <row r="16" spans="1:8" ht="12.75" customHeight="1" thickBot="1" x14ac:dyDescent="0.3">
      <c r="A16" s="10">
        <v>36.867700069999998</v>
      </c>
      <c r="B16" s="5">
        <f t="shared" si="1"/>
        <v>0.85135476253815767</v>
      </c>
      <c r="C16" s="5">
        <f t="shared" si="0"/>
        <v>0.72480493169640281</v>
      </c>
      <c r="D16" s="5"/>
      <c r="E16" s="5"/>
      <c r="F16" s="5"/>
    </row>
    <row r="17" spans="1:6" ht="12.75" customHeight="1" thickBot="1" x14ac:dyDescent="0.3">
      <c r="A17" s="10">
        <v>36.818441360000001</v>
      </c>
      <c r="B17" s="5">
        <f t="shared" si="1"/>
        <v>0.90061347253815427</v>
      </c>
      <c r="C17" s="5">
        <f t="shared" si="0"/>
        <v>0.81110462691723273</v>
      </c>
      <c r="D17" s="5"/>
      <c r="E17" s="5"/>
      <c r="F17" s="5"/>
    </row>
    <row r="18" spans="1:6" ht="12.75" customHeight="1" thickBot="1" x14ac:dyDescent="0.3">
      <c r="A18" s="10">
        <v>36.675779589999998</v>
      </c>
      <c r="B18" s="5">
        <f t="shared" si="1"/>
        <v>1.043275242538158</v>
      </c>
      <c r="C18" s="5">
        <f t="shared" si="0"/>
        <v>1.0884232316930522</v>
      </c>
      <c r="D18" s="5"/>
      <c r="E18" s="13" t="s">
        <v>17</v>
      </c>
      <c r="F18" s="5"/>
    </row>
    <row r="19" spans="1:6" ht="12.75" customHeight="1" thickBot="1" x14ac:dyDescent="0.3">
      <c r="A19" s="10">
        <v>15.38377623</v>
      </c>
      <c r="B19" s="5">
        <f t="shared" si="1"/>
        <v>22.335278602538153</v>
      </c>
      <c r="C19" s="5">
        <f t="shared" si="0"/>
        <v>498.86467025299868</v>
      </c>
      <c r="D19" s="5"/>
      <c r="E19" s="5"/>
      <c r="F19" s="5"/>
    </row>
    <row r="20" spans="1:6" ht="12.75" customHeight="1" thickBot="1" x14ac:dyDescent="0.3">
      <c r="A20" s="10">
        <v>13.58380148</v>
      </c>
      <c r="B20" s="5">
        <f t="shared" si="1"/>
        <v>24.135253352538157</v>
      </c>
      <c r="C20" s="5">
        <f t="shared" si="0"/>
        <v>582.51045439120435</v>
      </c>
      <c r="D20" s="5"/>
      <c r="E20" s="12" t="s">
        <v>7</v>
      </c>
      <c r="F20" s="5">
        <v>40</v>
      </c>
    </row>
    <row r="21" spans="1:6" ht="12.75" customHeight="1" thickBot="1" x14ac:dyDescent="0.3">
      <c r="A21" s="10">
        <v>22.789471549999998</v>
      </c>
      <c r="B21" s="5">
        <f t="shared" si="1"/>
        <v>14.929583282538157</v>
      </c>
      <c r="C21" s="5">
        <f t="shared" si="0"/>
        <v>222.89245699024283</v>
      </c>
      <c r="D21" s="5"/>
      <c r="E21" s="12" t="s">
        <v>9</v>
      </c>
      <c r="F21" s="5">
        <f>E2</f>
        <v>37.719054832538156</v>
      </c>
    </row>
    <row r="22" spans="1:6" ht="12.75" customHeight="1" thickBot="1" x14ac:dyDescent="0.3">
      <c r="A22" s="10">
        <v>55.327803019999998</v>
      </c>
      <c r="B22" s="5">
        <f t="shared" si="1"/>
        <v>17.608748187461842</v>
      </c>
      <c r="C22" s="5">
        <f t="shared" si="0"/>
        <v>310.06801272944068</v>
      </c>
      <c r="D22" s="5"/>
      <c r="E22" s="12" t="s">
        <v>8</v>
      </c>
      <c r="F22" s="5">
        <f>G2</f>
        <v>16.036658421715316</v>
      </c>
    </row>
    <row r="23" spans="1:6" ht="12.75" customHeight="1" thickBot="1" x14ac:dyDescent="0.3">
      <c r="A23" s="10">
        <v>13.095080490000001</v>
      </c>
      <c r="B23" s="5">
        <f t="shared" si="1"/>
        <v>24.623974342538155</v>
      </c>
      <c r="C23" s="5">
        <f t="shared" si="0"/>
        <v>606.34011242197732</v>
      </c>
      <c r="D23" s="5"/>
      <c r="E23" s="11" t="s">
        <v>15</v>
      </c>
      <c r="F23" s="5">
        <f>ROUND((F20-F21)/F22,2)</f>
        <v>0.14000000000000001</v>
      </c>
    </row>
    <row r="24" spans="1:6" ht="12.75" customHeight="1" thickBot="1" x14ac:dyDescent="0.3">
      <c r="A24" s="10">
        <v>49.90297065</v>
      </c>
      <c r="B24" s="5">
        <f t="shared" si="1"/>
        <v>12.183915817461845</v>
      </c>
      <c r="C24" s="5">
        <f t="shared" si="0"/>
        <v>148.44780464699693</v>
      </c>
      <c r="D24" s="5"/>
      <c r="E24" s="11" t="s">
        <v>16</v>
      </c>
      <c r="F24" s="5">
        <f>ROUND((F20-F21)/G4,2)</f>
        <v>2.25</v>
      </c>
    </row>
    <row r="25" spans="1:6" ht="12.75" customHeight="1" thickBot="1" x14ac:dyDescent="0.3">
      <c r="A25" s="10">
        <v>45.230710770000002</v>
      </c>
      <c r="B25" s="5">
        <f t="shared" si="1"/>
        <v>7.5116559374618461</v>
      </c>
      <c r="C25" s="5">
        <f t="shared" si="0"/>
        <v>56.424974922805809</v>
      </c>
      <c r="D25" s="5"/>
      <c r="E25" s="5"/>
      <c r="F25" s="5"/>
    </row>
    <row r="26" spans="1:6" ht="12.75" customHeight="1" thickBot="1" x14ac:dyDescent="0.3">
      <c r="A26" s="10">
        <v>70.697583440000002</v>
      </c>
      <c r="B26" s="5">
        <f t="shared" si="1"/>
        <v>32.978528607461847</v>
      </c>
      <c r="C26" s="5">
        <f t="shared" si="0"/>
        <v>1087.5833491131793</v>
      </c>
      <c r="D26" s="5"/>
      <c r="E26" s="12" t="s">
        <v>24</v>
      </c>
      <c r="F26" s="5">
        <f>VLOOKUP(F23,Sheet2!A:B,2,FALSE)</f>
        <v>0.44432999519409355</v>
      </c>
    </row>
    <row r="27" spans="1:6" ht="12.75" customHeight="1" thickBot="1" x14ac:dyDescent="0.3">
      <c r="A27" s="10">
        <v>14.411889800000001</v>
      </c>
      <c r="B27" s="5">
        <f t="shared" si="1"/>
        <v>23.307165032538155</v>
      </c>
      <c r="C27" s="5">
        <f t="shared" si="0"/>
        <v>543.22394185396934</v>
      </c>
      <c r="D27" s="5"/>
      <c r="E27" s="12" t="s">
        <v>25</v>
      </c>
      <c r="F27" s="5">
        <f>VLOOKUP(F24,Sheet2!A:B,2,FALSE)</f>
        <v>1.2224472655044671E-2</v>
      </c>
    </row>
    <row r="28" spans="1:6" ht="12.75" customHeight="1" thickBot="1" x14ac:dyDescent="0.3">
      <c r="A28" s="10">
        <v>40.171926239999998</v>
      </c>
      <c r="B28" s="5">
        <f t="shared" si="1"/>
        <v>2.4528714074618421</v>
      </c>
      <c r="C28" s="5">
        <f t="shared" si="0"/>
        <v>6.016578141543838</v>
      </c>
      <c r="D28" s="5"/>
      <c r="E28" s="5"/>
      <c r="F28" s="5"/>
    </row>
    <row r="29" spans="1:6" ht="12.75" customHeight="1" thickBot="1" x14ac:dyDescent="0.3">
      <c r="A29" s="10">
        <v>51.518034659999998</v>
      </c>
      <c r="B29" s="5">
        <f t="shared" si="1"/>
        <v>13.798979827461842</v>
      </c>
      <c r="C29" s="5">
        <f t="shared" si="0"/>
        <v>190.41184427869885</v>
      </c>
      <c r="D29" s="5"/>
      <c r="E29" s="14" t="s">
        <v>18</v>
      </c>
      <c r="F29" s="5"/>
    </row>
    <row r="30" spans="1:6" ht="12.75" customHeight="1" thickBot="1" x14ac:dyDescent="0.3">
      <c r="A30" s="10">
        <v>25.678303979999999</v>
      </c>
      <c r="B30" s="5">
        <f t="shared" si="1"/>
        <v>12.040750852538157</v>
      </c>
      <c r="C30" s="5">
        <f t="shared" si="0"/>
        <v>144.97968109289835</v>
      </c>
      <c r="D30" s="5"/>
      <c r="E30" s="5"/>
      <c r="F30" s="5"/>
    </row>
    <row r="31" spans="1:6" ht="12.75" customHeight="1" thickBot="1" x14ac:dyDescent="0.3">
      <c r="A31" s="10">
        <v>42.438294599999999</v>
      </c>
      <c r="B31" s="5">
        <f t="shared" si="1"/>
        <v>4.7192397674618434</v>
      </c>
      <c r="C31" s="5">
        <f t="shared" si="0"/>
        <v>22.271223982793313</v>
      </c>
      <c r="D31" s="5"/>
      <c r="E31" s="12" t="s">
        <v>7</v>
      </c>
      <c r="F31" s="5">
        <v>110</v>
      </c>
    </row>
    <row r="32" spans="1:6" ht="12.75" customHeight="1" thickBot="1" x14ac:dyDescent="0.3">
      <c r="A32" s="10">
        <v>13.244251520000001</v>
      </c>
      <c r="B32" s="5">
        <f t="shared" si="1"/>
        <v>24.474803312538157</v>
      </c>
      <c r="C32" s="5">
        <f t="shared" si="0"/>
        <v>599.01599718742875</v>
      </c>
      <c r="D32" s="5"/>
      <c r="E32" s="12" t="s">
        <v>9</v>
      </c>
      <c r="F32" s="5">
        <v>100</v>
      </c>
    </row>
    <row r="33" spans="1:6" ht="12.75" customHeight="1" thickBot="1" x14ac:dyDescent="0.3">
      <c r="A33" s="10">
        <v>44.689383919999997</v>
      </c>
      <c r="B33" s="5">
        <f t="shared" si="1"/>
        <v>6.9703290874618418</v>
      </c>
      <c r="C33" s="5">
        <f t="shared" si="0"/>
        <v>48.585487587516631</v>
      </c>
      <c r="D33" s="5"/>
      <c r="E33" s="12" t="s">
        <v>8</v>
      </c>
      <c r="F33" s="5">
        <v>20</v>
      </c>
    </row>
    <row r="34" spans="1:6" ht="12.75" customHeight="1" thickBot="1" x14ac:dyDescent="0.3">
      <c r="A34" s="10">
        <v>34.22207899</v>
      </c>
      <c r="B34" s="5">
        <f t="shared" si="1"/>
        <v>3.4969758425381556</v>
      </c>
      <c r="C34" s="5">
        <f t="shared" si="0"/>
        <v>12.228840043295444</v>
      </c>
      <c r="D34" s="5"/>
      <c r="E34" s="11" t="s">
        <v>19</v>
      </c>
      <c r="F34">
        <v>25</v>
      </c>
    </row>
    <row r="35" spans="1:6" ht="12.75" customHeight="1" thickBot="1" x14ac:dyDescent="0.3">
      <c r="A35" s="10">
        <v>26.919182840000001</v>
      </c>
      <c r="B35" s="5">
        <f t="shared" si="1"/>
        <v>10.799871992538154</v>
      </c>
      <c r="C35" s="5">
        <f t="shared" si="0"/>
        <v>116.63723505521004</v>
      </c>
      <c r="D35" s="5"/>
      <c r="E35" s="12" t="s">
        <v>23</v>
      </c>
      <c r="F35" s="5">
        <f>(F31-F32)/F33</f>
        <v>0.5</v>
      </c>
    </row>
    <row r="36" spans="1:6" ht="12.75" customHeight="1" thickBot="1" x14ac:dyDescent="0.3">
      <c r="A36" s="10">
        <v>60.378470159999999</v>
      </c>
      <c r="B36" s="5">
        <f t="shared" si="1"/>
        <v>22.659415327461844</v>
      </c>
      <c r="C36" s="5">
        <f t="shared" si="0"/>
        <v>513.44910298241268</v>
      </c>
      <c r="D36" s="5"/>
      <c r="E36" s="12" t="s">
        <v>22</v>
      </c>
      <c r="F36" s="5">
        <f>F33/SQRT(F34)</f>
        <v>4</v>
      </c>
    </row>
    <row r="37" spans="1:6" ht="12.75" customHeight="1" thickBot="1" x14ac:dyDescent="0.3">
      <c r="A37" s="10">
        <v>48.472866670000002</v>
      </c>
      <c r="B37" s="5">
        <f t="shared" si="1"/>
        <v>10.753811837461846</v>
      </c>
      <c r="C37" s="5">
        <f t="shared" si="0"/>
        <v>115.64446903553453</v>
      </c>
      <c r="D37" s="5"/>
    </row>
    <row r="38" spans="1:6" ht="12.75" customHeight="1" thickBot="1" x14ac:dyDescent="0.3">
      <c r="A38" s="10">
        <v>49.175969100000003</v>
      </c>
      <c r="B38" s="5">
        <f t="shared" si="1"/>
        <v>11.456914267461848</v>
      </c>
      <c r="C38" s="5">
        <f t="shared" si="0"/>
        <v>131.26088453197085</v>
      </c>
      <c r="D38" s="5"/>
      <c r="E38" s="11" t="s">
        <v>20</v>
      </c>
      <c r="F38">
        <v>110</v>
      </c>
    </row>
    <row r="39" spans="1:6" ht="42.6" customHeight="1" thickBot="1" x14ac:dyDescent="0.3">
      <c r="A39" s="10">
        <v>55.376638319999998</v>
      </c>
      <c r="B39" s="5">
        <f t="shared" si="1"/>
        <v>17.657583487461842</v>
      </c>
      <c r="C39" s="5">
        <f t="shared" si="0"/>
        <v>311.7902546166851</v>
      </c>
      <c r="D39" s="5"/>
      <c r="E39" s="11" t="s">
        <v>21</v>
      </c>
      <c r="F39" s="15">
        <f>(F38-F32)/F36</f>
        <v>2.5</v>
      </c>
    </row>
    <row r="40" spans="1:6" ht="12.75" customHeight="1" thickBot="1" x14ac:dyDescent="0.3">
      <c r="A40" s="10">
        <v>30.502002229999999</v>
      </c>
      <c r="B40" s="5">
        <f t="shared" si="1"/>
        <v>7.2170526025381569</v>
      </c>
      <c r="C40" s="5">
        <f t="shared" si="0"/>
        <v>52.085848267802781</v>
      </c>
      <c r="D40" s="5"/>
      <c r="E40" s="12" t="s">
        <v>26</v>
      </c>
      <c r="F40" s="5">
        <f>VLOOKUP(F39,Sheet2!A:B,2,FALSE)</f>
        <v>6.2096653257761592E-3</v>
      </c>
    </row>
    <row r="41" spans="1:6" ht="12.75" customHeight="1" thickBot="1" x14ac:dyDescent="0.3">
      <c r="A41" s="10">
        <v>52.389595499999999</v>
      </c>
      <c r="B41" s="5">
        <f t="shared" si="1"/>
        <v>14.670540667461843</v>
      </c>
      <c r="C41" s="5">
        <f t="shared" si="0"/>
        <v>215.22476347565177</v>
      </c>
      <c r="D41" s="5"/>
      <c r="E41" s="5"/>
      <c r="F41" s="5"/>
    </row>
    <row r="42" spans="1:6" ht="12.75" customHeight="1" thickBot="1" x14ac:dyDescent="0.3">
      <c r="A42" s="10">
        <v>36.58133368</v>
      </c>
      <c r="B42" s="5">
        <f t="shared" si="1"/>
        <v>1.1377211525381554</v>
      </c>
      <c r="C42" s="5">
        <f t="shared" si="0"/>
        <v>1.2944094209327488</v>
      </c>
      <c r="D42" s="5"/>
      <c r="E42" s="5"/>
      <c r="F42" s="5"/>
    </row>
    <row r="43" spans="1:6" ht="12.75" customHeight="1" thickBot="1" x14ac:dyDescent="0.3">
      <c r="A43" s="10">
        <v>53.392286040000002</v>
      </c>
      <c r="B43" s="5">
        <f t="shared" si="1"/>
        <v>15.673231207461846</v>
      </c>
      <c r="C43" s="5">
        <f t="shared" si="0"/>
        <v>245.65017648255593</v>
      </c>
      <c r="D43" s="5"/>
      <c r="E43" s="5"/>
      <c r="F43" s="5"/>
    </row>
    <row r="44" spans="1:6" ht="13.8" thickBot="1" x14ac:dyDescent="0.3">
      <c r="A44" s="10">
        <v>13.73291581</v>
      </c>
      <c r="B44" s="5">
        <f t="shared" si="1"/>
        <v>23.986139022538154</v>
      </c>
      <c r="C44" s="5">
        <f t="shared" si="0"/>
        <v>575.33486520852762</v>
      </c>
      <c r="D44" s="5"/>
      <c r="E44" s="5"/>
      <c r="F44" s="5"/>
    </row>
    <row r="45" spans="1:6" ht="13.8" thickBot="1" x14ac:dyDescent="0.3">
      <c r="A45" s="10">
        <v>32.111199409999998</v>
      </c>
      <c r="B45" s="5">
        <f t="shared" si="1"/>
        <v>5.6078554225381581</v>
      </c>
      <c r="C45" s="5">
        <f t="shared" si="0"/>
        <v>31.448042440090624</v>
      </c>
      <c r="D45" s="5"/>
      <c r="E45" s="5"/>
      <c r="F45" s="5"/>
    </row>
    <row r="46" spans="1:6" ht="13.8" thickBot="1" x14ac:dyDescent="0.3">
      <c r="A46" s="10">
        <v>67.301987890000007</v>
      </c>
      <c r="B46" s="5">
        <f t="shared" si="1"/>
        <v>29.582933057461851</v>
      </c>
      <c r="C46" s="5">
        <f t="shared" si="0"/>
        <v>875.14992828226923</v>
      </c>
      <c r="D46" s="5"/>
      <c r="E46" s="5"/>
      <c r="F46" s="5"/>
    </row>
    <row r="47" spans="1:6" ht="13.8" thickBot="1" x14ac:dyDescent="0.3">
      <c r="A47" s="10">
        <v>42.74307443</v>
      </c>
      <c r="B47" s="5">
        <f t="shared" si="1"/>
        <v>5.0240195974618445</v>
      </c>
      <c r="C47" s="5">
        <f t="shared" si="0"/>
        <v>25.240772915680672</v>
      </c>
      <c r="D47" s="5"/>
      <c r="E47" s="5"/>
      <c r="F47" s="5"/>
    </row>
    <row r="48" spans="1:6" ht="13.8" thickBot="1" x14ac:dyDescent="0.3">
      <c r="A48" s="10">
        <v>16.200900969999999</v>
      </c>
      <c r="B48" s="5">
        <f t="shared" si="1"/>
        <v>21.518153862538156</v>
      </c>
      <c r="C48" s="5">
        <f t="shared" si="0"/>
        <v>463.03094565186575</v>
      </c>
      <c r="D48" s="5"/>
      <c r="E48" s="5"/>
      <c r="F48" s="5"/>
    </row>
    <row r="49" spans="1:6" ht="13.8" thickBot="1" x14ac:dyDescent="0.3">
      <c r="A49" s="10">
        <v>25.891830939999998</v>
      </c>
      <c r="B49" s="5">
        <f t="shared" si="1"/>
        <v>11.827223892538157</v>
      </c>
      <c r="C49" s="5">
        <f t="shared" si="0"/>
        <v>139.88322500422544</v>
      </c>
      <c r="D49" s="5"/>
      <c r="E49" s="5"/>
      <c r="F49" s="5"/>
    </row>
    <row r="50" spans="1:6" ht="13.8" thickBot="1" x14ac:dyDescent="0.3">
      <c r="A50" s="10">
        <v>59.638687830000002</v>
      </c>
      <c r="B50" s="5">
        <f t="shared" si="1"/>
        <v>21.919632997461846</v>
      </c>
      <c r="C50" s="5">
        <f t="shared" si="0"/>
        <v>480.47031074341822</v>
      </c>
      <c r="D50" s="5"/>
      <c r="E50" s="5"/>
      <c r="F50" s="5"/>
    </row>
    <row r="51" spans="1:6" ht="13.8" thickBot="1" x14ac:dyDescent="0.3">
      <c r="A51" s="10">
        <v>57.100869240000002</v>
      </c>
      <c r="B51" s="5">
        <f t="shared" si="1"/>
        <v>19.381814407461846</v>
      </c>
      <c r="C51" s="5">
        <f t="shared" si="0"/>
        <v>375.65472972529557</v>
      </c>
      <c r="D51" s="5"/>
      <c r="E51" s="5"/>
      <c r="F51" s="5"/>
    </row>
    <row r="52" spans="1:6" ht="13.8" thickBot="1" x14ac:dyDescent="0.3">
      <c r="A52" s="10">
        <v>31.38720636</v>
      </c>
      <c r="B52" s="5">
        <f t="shared" si="1"/>
        <v>6.3318484725381552</v>
      </c>
      <c r="C52" s="5">
        <f t="shared" si="0"/>
        <v>40.092305079183767</v>
      </c>
      <c r="D52" s="5"/>
      <c r="E52" s="5"/>
      <c r="F52" s="5"/>
    </row>
    <row r="53" spans="1:6" ht="13.8" thickBot="1" x14ac:dyDescent="0.3">
      <c r="A53" s="10">
        <v>28.451637290000001</v>
      </c>
      <c r="B53" s="5">
        <f t="shared" si="1"/>
        <v>9.2674175425381549</v>
      </c>
      <c r="C53" s="5">
        <f t="shared" si="0"/>
        <v>85.885027907743932</v>
      </c>
      <c r="D53" s="5"/>
      <c r="E53" s="5"/>
      <c r="F53" s="5"/>
    </row>
    <row r="54" spans="1:6" ht="13.8" thickBot="1" x14ac:dyDescent="0.3">
      <c r="A54" s="10">
        <v>36.771307999999998</v>
      </c>
      <c r="B54" s="5">
        <f t="shared" si="1"/>
        <v>0.94774683253815795</v>
      </c>
      <c r="C54" s="5">
        <f t="shared" si="0"/>
        <v>0.89822405858611121</v>
      </c>
      <c r="D54" s="5"/>
      <c r="E54" s="5"/>
      <c r="F54" s="5"/>
    </row>
    <row r="55" spans="1:6" ht="13.8" thickBot="1" x14ac:dyDescent="0.3">
      <c r="A55" s="10">
        <v>50.39171237</v>
      </c>
      <c r="B55" s="5">
        <f t="shared" si="1"/>
        <v>12.672657537461845</v>
      </c>
      <c r="C55" s="5">
        <f t="shared" si="0"/>
        <v>160.59624906178851</v>
      </c>
      <c r="D55" s="5"/>
      <c r="E55" s="5"/>
      <c r="F55" s="5"/>
    </row>
    <row r="56" spans="1:6" ht="13.8" thickBot="1" x14ac:dyDescent="0.3">
      <c r="A56" s="10">
        <v>44.196420430000003</v>
      </c>
      <c r="B56" s="5">
        <f t="shared" si="1"/>
        <v>6.4773655974618478</v>
      </c>
      <c r="C56" s="5">
        <f t="shared" si="0"/>
        <v>41.956265083182281</v>
      </c>
      <c r="D56" s="5"/>
      <c r="E56" s="5"/>
      <c r="F56" s="5"/>
    </row>
    <row r="57" spans="1:6" ht="13.8" thickBot="1" x14ac:dyDescent="0.3">
      <c r="A57" s="10">
        <v>24.595887619999999</v>
      </c>
      <c r="B57" s="5">
        <f t="shared" si="1"/>
        <v>13.123167212538156</v>
      </c>
      <c r="C57" s="5">
        <f t="shared" si="0"/>
        <v>172.21751768823648</v>
      </c>
      <c r="D57" s="5"/>
      <c r="E57" s="5"/>
      <c r="F57" s="5"/>
    </row>
    <row r="58" spans="1:6" ht="13.8" thickBot="1" x14ac:dyDescent="0.3">
      <c r="A58" s="10">
        <v>18.406435949999999</v>
      </c>
      <c r="B58" s="5">
        <f t="shared" si="1"/>
        <v>19.312618882538157</v>
      </c>
      <c r="C58" s="5">
        <f t="shared" si="0"/>
        <v>372.97724810216937</v>
      </c>
      <c r="D58" s="5"/>
      <c r="E58" s="5"/>
      <c r="F58" s="5"/>
    </row>
    <row r="59" spans="1:6" ht="13.8" thickBot="1" x14ac:dyDescent="0.3">
      <c r="A59" s="10">
        <v>13.542542620000001</v>
      </c>
      <c r="B59" s="5">
        <f t="shared" si="1"/>
        <v>24.176512212538157</v>
      </c>
      <c r="C59" s="5">
        <f t="shared" si="0"/>
        <v>584.50374276300658</v>
      </c>
      <c r="D59" s="5"/>
      <c r="E59" s="5"/>
      <c r="F59" s="5"/>
    </row>
    <row r="60" spans="1:6" ht="13.8" thickBot="1" x14ac:dyDescent="0.3">
      <c r="A60" s="10">
        <v>40.324983639999999</v>
      </c>
      <c r="B60" s="5">
        <f t="shared" si="1"/>
        <v>2.6059288074618436</v>
      </c>
      <c r="C60" s="5">
        <f t="shared" si="0"/>
        <v>6.7908649495595066</v>
      </c>
      <c r="D60" s="5"/>
      <c r="E60" s="5"/>
      <c r="F60" s="5"/>
    </row>
    <row r="61" spans="1:6" ht="13.8" thickBot="1" x14ac:dyDescent="0.3">
      <c r="A61" s="10">
        <v>22.317058329999998</v>
      </c>
      <c r="B61" s="5">
        <f t="shared" si="1"/>
        <v>15.401996502538157</v>
      </c>
      <c r="C61" s="5">
        <f t="shared" si="0"/>
        <v>237.22149626419764</v>
      </c>
      <c r="D61" s="5"/>
      <c r="E61" s="5"/>
      <c r="F61" s="5"/>
    </row>
    <row r="62" spans="1:6" ht="13.8" thickBot="1" x14ac:dyDescent="0.3">
      <c r="A62" s="10">
        <v>41.535335019999998</v>
      </c>
      <c r="B62" s="5">
        <f t="shared" si="1"/>
        <v>3.8162801874618424</v>
      </c>
      <c r="C62" s="5">
        <f t="shared" si="0"/>
        <v>14.563994469213794</v>
      </c>
      <c r="D62" s="5"/>
      <c r="E62" s="5"/>
      <c r="F62" s="5"/>
    </row>
    <row r="63" spans="1:6" ht="13.8" thickBot="1" x14ac:dyDescent="0.3">
      <c r="A63" s="10">
        <v>28.860996490000002</v>
      </c>
      <c r="B63" s="5">
        <f t="shared" si="1"/>
        <v>8.8580583425381541</v>
      </c>
      <c r="C63" s="5">
        <f t="shared" si="0"/>
        <v>78.465197599809784</v>
      </c>
      <c r="D63" s="5"/>
      <c r="E63" s="5"/>
      <c r="F63" s="5"/>
    </row>
    <row r="64" spans="1:6" ht="13.8" thickBot="1" x14ac:dyDescent="0.3">
      <c r="A64" s="10">
        <v>17.76413647</v>
      </c>
      <c r="B64" s="5">
        <f t="shared" si="1"/>
        <v>19.954918362538155</v>
      </c>
      <c r="C64" s="5">
        <f t="shared" si="0"/>
        <v>398.19876685556244</v>
      </c>
      <c r="D64" s="5"/>
      <c r="E64" s="5"/>
      <c r="F64" s="5"/>
    </row>
    <row r="65" spans="1:6" ht="13.8" thickBot="1" x14ac:dyDescent="0.3">
      <c r="A65" s="10">
        <v>45.458696510000003</v>
      </c>
      <c r="B65" s="5">
        <f t="shared" si="1"/>
        <v>7.7396416774618473</v>
      </c>
      <c r="C65" s="5">
        <f t="shared" si="0"/>
        <v>59.902053295504437</v>
      </c>
      <c r="D65" s="5"/>
      <c r="E65" s="5"/>
      <c r="F65" s="5"/>
    </row>
    <row r="66" spans="1:6" ht="13.8" thickBot="1" x14ac:dyDescent="0.3">
      <c r="A66" s="10">
        <v>43.207945309999999</v>
      </c>
      <c r="B66" s="5">
        <f t="shared" si="1"/>
        <v>5.4888904774618439</v>
      </c>
      <c r="C66" s="5">
        <f t="shared" si="0"/>
        <v>30.127918673571308</v>
      </c>
      <c r="D66" s="5"/>
      <c r="E66" s="5"/>
      <c r="F66" s="5"/>
    </row>
    <row r="67" spans="1:6" ht="13.8" thickBot="1" x14ac:dyDescent="0.3">
      <c r="A67" s="10">
        <v>57.09889244</v>
      </c>
      <c r="B67" s="5">
        <f t="shared" si="1"/>
        <v>19.379837607461845</v>
      </c>
      <c r="C67" s="5">
        <f t="shared" ref="C67:C130" si="2">POWER(B67,2)</f>
        <v>375.57810569159244</v>
      </c>
      <c r="D67" s="5"/>
      <c r="E67" s="5"/>
      <c r="F67" s="5"/>
    </row>
    <row r="68" spans="1:6" ht="13.8" thickBot="1" x14ac:dyDescent="0.3">
      <c r="A68" s="10">
        <v>46.836703499999999</v>
      </c>
      <c r="B68" s="5">
        <f t="shared" si="1"/>
        <v>9.1176486674618431</v>
      </c>
      <c r="C68" s="5">
        <f t="shared" si="2"/>
        <v>83.13151722326873</v>
      </c>
      <c r="D68" s="5"/>
      <c r="E68" s="5"/>
      <c r="F68" s="5"/>
    </row>
    <row r="69" spans="1:6" ht="13.8" thickBot="1" x14ac:dyDescent="0.3">
      <c r="A69" s="10">
        <v>41.191211080000002</v>
      </c>
      <c r="B69" s="5">
        <f t="shared" si="1"/>
        <v>3.4721562474618466</v>
      </c>
      <c r="C69" s="5">
        <f t="shared" si="2"/>
        <v>12.055869006788331</v>
      </c>
      <c r="D69" s="5"/>
      <c r="E69" s="5"/>
      <c r="F69" s="5"/>
    </row>
    <row r="70" spans="1:6" ht="13.8" thickBot="1" x14ac:dyDescent="0.3">
      <c r="A70" s="10">
        <v>14.637754839999999</v>
      </c>
      <c r="B70" s="5">
        <f t="shared" si="1"/>
        <v>23.081299992538156</v>
      </c>
      <c r="C70" s="5">
        <f t="shared" si="2"/>
        <v>532.74640934554191</v>
      </c>
      <c r="D70" s="5"/>
      <c r="E70" s="5"/>
      <c r="F70" s="5"/>
    </row>
    <row r="71" spans="1:6" ht="13.8" thickBot="1" x14ac:dyDescent="0.3">
      <c r="A71" s="10">
        <v>20.938133730000001</v>
      </c>
      <c r="B71" s="5">
        <f t="shared" si="1"/>
        <v>16.780921102538155</v>
      </c>
      <c r="C71" s="5">
        <f t="shared" si="2"/>
        <v>281.59931304961037</v>
      </c>
      <c r="D71" s="5"/>
      <c r="E71" s="5"/>
      <c r="F71" s="5"/>
    </row>
    <row r="72" spans="1:6" ht="13.8" thickBot="1" x14ac:dyDescent="0.3">
      <c r="A72" s="10">
        <v>55.382051079999997</v>
      </c>
      <c r="B72" s="5">
        <f t="shared" si="1"/>
        <v>17.662996247461841</v>
      </c>
      <c r="C72" s="5">
        <f t="shared" si="2"/>
        <v>311.98143643785107</v>
      </c>
      <c r="D72" s="5"/>
      <c r="E72" s="5"/>
      <c r="F72" s="5"/>
    </row>
    <row r="73" spans="1:6" ht="13.8" thickBot="1" x14ac:dyDescent="0.3">
      <c r="A73" s="10">
        <v>43.736772680000001</v>
      </c>
      <c r="B73" s="5">
        <f t="shared" ref="B73:B136" si="3">ABS(A73-$E$2)</f>
        <v>6.0177178474618458</v>
      </c>
      <c r="C73" s="5">
        <f t="shared" si="2"/>
        <v>36.212928091660828</v>
      </c>
      <c r="D73" s="5"/>
      <c r="E73" s="5"/>
      <c r="F73" s="5"/>
    </row>
    <row r="74" spans="1:6" ht="13.8" thickBot="1" x14ac:dyDescent="0.3">
      <c r="A74" s="10">
        <v>27.79611731</v>
      </c>
      <c r="B74" s="5">
        <f t="shared" si="3"/>
        <v>9.922937522538156</v>
      </c>
      <c r="C74" s="5">
        <f t="shared" si="2"/>
        <v>98.464689076195683</v>
      </c>
      <c r="D74" s="5"/>
      <c r="E74" s="5"/>
      <c r="F74" s="5"/>
    </row>
    <row r="75" spans="1:6" ht="13.8" thickBot="1" x14ac:dyDescent="0.3">
      <c r="A75" s="10">
        <v>40.579285319999997</v>
      </c>
      <c r="B75" s="5">
        <f t="shared" si="3"/>
        <v>2.8602304874618412</v>
      </c>
      <c r="C75" s="5">
        <f t="shared" si="2"/>
        <v>8.1809184414062024</v>
      </c>
      <c r="D75" s="5"/>
      <c r="E75" s="5"/>
      <c r="F75" s="5"/>
    </row>
    <row r="76" spans="1:6" ht="13.8" thickBot="1" x14ac:dyDescent="0.3">
      <c r="A76" s="10">
        <v>40.898734830000002</v>
      </c>
      <c r="B76" s="5">
        <f t="shared" si="3"/>
        <v>3.1796799974618466</v>
      </c>
      <c r="C76" s="5">
        <f t="shared" si="2"/>
        <v>10.110364886258969</v>
      </c>
      <c r="D76" s="5"/>
      <c r="E76" s="5"/>
      <c r="F76" s="5"/>
    </row>
    <row r="77" spans="1:6" ht="13.8" thickBot="1" x14ac:dyDescent="0.3">
      <c r="A77" s="10">
        <v>50.011313360000003</v>
      </c>
      <c r="B77" s="5">
        <f t="shared" si="3"/>
        <v>12.292258527461847</v>
      </c>
      <c r="C77" s="5">
        <f t="shared" si="2"/>
        <v>151.0996197059585</v>
      </c>
      <c r="D77" s="5"/>
      <c r="E77" s="5"/>
      <c r="F77" s="5"/>
    </row>
    <row r="78" spans="1:6" ht="13.8" thickBot="1" x14ac:dyDescent="0.3">
      <c r="A78" s="10">
        <v>13.405150150000001</v>
      </c>
      <c r="B78" s="5">
        <f t="shared" si="3"/>
        <v>24.313904682538155</v>
      </c>
      <c r="C78" s="5">
        <f t="shared" si="2"/>
        <v>591.16596091155077</v>
      </c>
      <c r="D78" s="5"/>
      <c r="E78" s="5"/>
      <c r="F78" s="5"/>
    </row>
    <row r="79" spans="1:6" ht="13.8" thickBot="1" x14ac:dyDescent="0.3">
      <c r="A79" s="10">
        <v>28.85695698</v>
      </c>
      <c r="B79" s="5">
        <f t="shared" si="3"/>
        <v>8.862097852538156</v>
      </c>
      <c r="C79" s="5">
        <f t="shared" si="2"/>
        <v>78.536778347961402</v>
      </c>
      <c r="D79" s="5"/>
      <c r="E79" s="5"/>
      <c r="F79" s="5"/>
    </row>
    <row r="80" spans="1:6" ht="13.8" thickBot="1" x14ac:dyDescent="0.3">
      <c r="A80" s="10">
        <v>25.628910959999999</v>
      </c>
      <c r="B80" s="5">
        <f t="shared" si="3"/>
        <v>12.090143872538157</v>
      </c>
      <c r="C80" s="5">
        <f t="shared" si="2"/>
        <v>146.17157885867195</v>
      </c>
      <c r="D80" s="5"/>
      <c r="E80" s="5"/>
      <c r="F80" s="5"/>
    </row>
    <row r="81" spans="1:6" ht="13.8" thickBot="1" x14ac:dyDescent="0.3">
      <c r="A81" s="10">
        <v>65.220174349999994</v>
      </c>
      <c r="B81" s="5">
        <f t="shared" si="3"/>
        <v>27.501119517461838</v>
      </c>
      <c r="C81" s="5">
        <f t="shared" si="2"/>
        <v>756.31157471372046</v>
      </c>
      <c r="D81" s="5"/>
      <c r="E81" s="5"/>
      <c r="F81" s="5"/>
    </row>
    <row r="82" spans="1:6" ht="13.8" thickBot="1" x14ac:dyDescent="0.3">
      <c r="A82" s="10">
        <v>56.612937780000003</v>
      </c>
      <c r="B82" s="5">
        <f t="shared" si="3"/>
        <v>18.893882947461847</v>
      </c>
      <c r="C82" s="5">
        <f t="shared" si="2"/>
        <v>356.97881283238956</v>
      </c>
      <c r="D82" s="5"/>
      <c r="E82" s="5"/>
      <c r="F82" s="5"/>
    </row>
    <row r="83" spans="1:6" ht="13.8" thickBot="1" x14ac:dyDescent="0.3">
      <c r="A83" s="10">
        <v>47.087361719999997</v>
      </c>
      <c r="B83" s="5">
        <f t="shared" si="3"/>
        <v>9.3683068874618414</v>
      </c>
      <c r="C83" s="5">
        <f t="shared" si="2"/>
        <v>87.765173937664969</v>
      </c>
      <c r="D83" s="5"/>
      <c r="E83" s="5"/>
      <c r="F83" s="5"/>
    </row>
    <row r="84" spans="1:6" ht="13.8" thickBot="1" x14ac:dyDescent="0.3">
      <c r="A84" s="10">
        <v>12.24242271</v>
      </c>
      <c r="B84" s="5">
        <f t="shared" si="3"/>
        <v>25.476632122538156</v>
      </c>
      <c r="C84" s="5">
        <f t="shared" si="2"/>
        <v>649.05878430714301</v>
      </c>
      <c r="D84" s="5"/>
      <c r="E84" s="5"/>
      <c r="F84" s="5"/>
    </row>
    <row r="85" spans="1:6" ht="13.8" thickBot="1" x14ac:dyDescent="0.3">
      <c r="A85" s="10">
        <v>54.317480850000003</v>
      </c>
      <c r="B85" s="5">
        <f t="shared" si="3"/>
        <v>16.598426017461847</v>
      </c>
      <c r="C85" s="5">
        <f t="shared" si="2"/>
        <v>275.50774625715434</v>
      </c>
      <c r="D85" s="5"/>
      <c r="E85" s="5"/>
      <c r="F85" s="5"/>
    </row>
    <row r="86" spans="1:6" ht="13.8" thickBot="1" x14ac:dyDescent="0.3">
      <c r="A86" s="10">
        <v>60.200852419999997</v>
      </c>
      <c r="B86" s="5">
        <f t="shared" si="3"/>
        <v>22.481797587461841</v>
      </c>
      <c r="C86" s="5">
        <f t="shared" si="2"/>
        <v>505.43122276360504</v>
      </c>
      <c r="D86" s="5"/>
      <c r="E86" s="5"/>
      <c r="F86" s="5"/>
    </row>
    <row r="87" spans="1:6" ht="13.8" thickBot="1" x14ac:dyDescent="0.3">
      <c r="A87" s="10">
        <v>17.179084719999999</v>
      </c>
      <c r="B87" s="5">
        <f t="shared" si="3"/>
        <v>20.539970112538157</v>
      </c>
      <c r="C87" s="5">
        <f t="shared" si="2"/>
        <v>421.89037222396075</v>
      </c>
      <c r="D87" s="5"/>
      <c r="E87" s="5"/>
      <c r="F87" s="5"/>
    </row>
    <row r="88" spans="1:6" ht="13.8" thickBot="1" x14ac:dyDescent="0.3">
      <c r="A88" s="10">
        <v>13.244251520000001</v>
      </c>
      <c r="B88" s="5">
        <f t="shared" si="3"/>
        <v>24.474803312538157</v>
      </c>
      <c r="C88" s="5">
        <f t="shared" si="2"/>
        <v>599.01599718742875</v>
      </c>
      <c r="D88" s="5"/>
      <c r="E88" s="5"/>
      <c r="F88" s="5"/>
    </row>
    <row r="89" spans="1:6" ht="13.8" thickBot="1" x14ac:dyDescent="0.3">
      <c r="A89" s="10">
        <v>47.791368599999998</v>
      </c>
      <c r="B89" s="5">
        <f t="shared" si="3"/>
        <v>10.072313767461843</v>
      </c>
      <c r="C89" s="5">
        <f t="shared" si="2"/>
        <v>101.45150463020138</v>
      </c>
      <c r="D89" s="5"/>
      <c r="E89" s="5"/>
      <c r="F89" s="5"/>
    </row>
    <row r="90" spans="1:6" ht="13.8" thickBot="1" x14ac:dyDescent="0.3">
      <c r="A90" s="10">
        <v>17.262079759999999</v>
      </c>
      <c r="B90" s="5">
        <f t="shared" si="3"/>
        <v>20.456975072538157</v>
      </c>
      <c r="C90" s="5">
        <f t="shared" si="2"/>
        <v>418.48782911844751</v>
      </c>
      <c r="D90" s="5"/>
      <c r="E90" s="5"/>
      <c r="F90" s="5"/>
    </row>
    <row r="91" spans="1:6" ht="13.8" thickBot="1" x14ac:dyDescent="0.3">
      <c r="A91" s="10">
        <v>45.073203460000002</v>
      </c>
      <c r="B91" s="5">
        <f t="shared" si="3"/>
        <v>7.3541486274618464</v>
      </c>
      <c r="C91" s="5">
        <f t="shared" si="2"/>
        <v>54.083502034798961</v>
      </c>
      <c r="D91" s="5"/>
      <c r="E91" s="5"/>
      <c r="F91" s="5"/>
    </row>
    <row r="92" spans="1:6" ht="13.8" thickBot="1" x14ac:dyDescent="0.3">
      <c r="A92" s="10">
        <v>52.105860909999997</v>
      </c>
      <c r="B92" s="5">
        <f t="shared" si="3"/>
        <v>14.386806077461841</v>
      </c>
      <c r="C92" s="5">
        <f t="shared" si="2"/>
        <v>206.98018911049297</v>
      </c>
      <c r="D92" s="5"/>
      <c r="E92" s="5"/>
      <c r="F92" s="5"/>
    </row>
    <row r="93" spans="1:6" ht="13.8" thickBot="1" x14ac:dyDescent="0.3">
      <c r="A93" s="10">
        <v>69.227167969999996</v>
      </c>
      <c r="B93" s="5">
        <f t="shared" si="3"/>
        <v>31.508113137461841</v>
      </c>
      <c r="C93" s="5">
        <f t="shared" si="2"/>
        <v>992.76119348309544</v>
      </c>
      <c r="D93" s="5"/>
      <c r="E93" s="5"/>
      <c r="F93" s="5"/>
    </row>
    <row r="94" spans="1:6" ht="13.8" thickBot="1" x14ac:dyDescent="0.3">
      <c r="A94" s="10">
        <v>35.69967947</v>
      </c>
      <c r="B94" s="5">
        <f t="shared" si="3"/>
        <v>2.0193753625381561</v>
      </c>
      <c r="C94" s="5">
        <f t="shared" si="2"/>
        <v>4.0778768548261093</v>
      </c>
      <c r="D94" s="5"/>
      <c r="E94" s="5"/>
      <c r="F94" s="5"/>
    </row>
    <row r="95" spans="1:6" ht="13.8" thickBot="1" x14ac:dyDescent="0.3">
      <c r="A95" s="10">
        <v>53.097135870000002</v>
      </c>
      <c r="B95" s="5">
        <f t="shared" si="3"/>
        <v>15.378081037461847</v>
      </c>
      <c r="C95" s="5">
        <f t="shared" si="2"/>
        <v>236.48537639474364</v>
      </c>
      <c r="D95" s="5"/>
      <c r="E95" s="5"/>
      <c r="F95" s="5"/>
    </row>
    <row r="96" spans="1:6" ht="13.8" thickBot="1" x14ac:dyDescent="0.3">
      <c r="A96" s="10">
        <v>49.21799145</v>
      </c>
      <c r="B96" s="5">
        <f t="shared" si="3"/>
        <v>11.498936617461844</v>
      </c>
      <c r="C96" s="5">
        <f t="shared" si="2"/>
        <v>132.22554333240484</v>
      </c>
      <c r="D96" s="5"/>
      <c r="E96" s="5"/>
      <c r="F96" s="5"/>
    </row>
    <row r="97" spans="1:6" ht="13.8" thickBot="1" x14ac:dyDescent="0.3">
      <c r="A97" s="10">
        <v>44.895074260000001</v>
      </c>
      <c r="B97" s="5">
        <f t="shared" si="3"/>
        <v>7.1760194274618456</v>
      </c>
      <c r="C97" s="5">
        <f t="shared" si="2"/>
        <v>51.495254823309836</v>
      </c>
      <c r="D97" s="5"/>
      <c r="E97" s="5"/>
      <c r="F97" s="5"/>
    </row>
    <row r="98" spans="1:6" ht="13.8" thickBot="1" x14ac:dyDescent="0.3">
      <c r="A98" s="10">
        <v>51.645248270000003</v>
      </c>
      <c r="B98" s="5">
        <f t="shared" si="3"/>
        <v>13.926193437461848</v>
      </c>
      <c r="C98" s="5">
        <f t="shared" si="2"/>
        <v>193.93886365760542</v>
      </c>
      <c r="D98" s="5"/>
      <c r="E98" s="5"/>
      <c r="F98" s="5"/>
    </row>
    <row r="99" spans="1:6" ht="13.8" thickBot="1" x14ac:dyDescent="0.3">
      <c r="A99" s="10">
        <v>10</v>
      </c>
      <c r="B99" s="5">
        <f t="shared" si="3"/>
        <v>27.719054832538156</v>
      </c>
      <c r="C99" s="5">
        <f t="shared" si="2"/>
        <v>768.34600080925691</v>
      </c>
      <c r="D99" s="5"/>
      <c r="E99" s="5"/>
      <c r="F99" s="5"/>
    </row>
    <row r="100" spans="1:6" ht="13.8" thickBot="1" x14ac:dyDescent="0.3">
      <c r="A100" s="10">
        <v>47.692616569999998</v>
      </c>
      <c r="B100" s="5">
        <f t="shared" si="3"/>
        <v>9.9735617374618428</v>
      </c>
      <c r="C100" s="5">
        <f t="shared" si="2"/>
        <v>99.471933730962888</v>
      </c>
      <c r="D100" s="5"/>
      <c r="E100" s="5"/>
      <c r="F100" s="5"/>
    </row>
    <row r="101" spans="1:6" ht="13.8" thickBot="1" x14ac:dyDescent="0.3">
      <c r="A101" s="10">
        <v>15.00910058</v>
      </c>
      <c r="B101" s="5">
        <f t="shared" si="3"/>
        <v>22.709954252538154</v>
      </c>
      <c r="C101" s="5">
        <f t="shared" si="2"/>
        <v>515.74202215237574</v>
      </c>
      <c r="D101" s="5"/>
      <c r="E101" s="5"/>
      <c r="F101" s="5"/>
    </row>
    <row r="102" spans="1:6" ht="12.75" customHeight="1" thickBot="1" x14ac:dyDescent="0.3">
      <c r="A102" s="10">
        <v>31.60922025</v>
      </c>
      <c r="B102" s="5">
        <f t="shared" si="3"/>
        <v>6.1098345825381557</v>
      </c>
      <c r="C102" s="5">
        <f t="shared" si="2"/>
        <v>37.330078625979198</v>
      </c>
    </row>
    <row r="103" spans="1:6" ht="12.75" customHeight="1" thickBot="1" x14ac:dyDescent="0.3">
      <c r="A103" s="10">
        <v>32.630725640000001</v>
      </c>
      <c r="B103" s="5">
        <f t="shared" si="3"/>
        <v>5.0883291925381542</v>
      </c>
      <c r="C103" s="5">
        <f t="shared" si="2"/>
        <v>25.891093971635986</v>
      </c>
    </row>
    <row r="104" spans="1:6" ht="12.75" customHeight="1" thickBot="1" x14ac:dyDescent="0.3">
      <c r="A104" s="10">
        <v>61.455847169999998</v>
      </c>
      <c r="B104" s="5">
        <f t="shared" si="3"/>
        <v>23.736792337461843</v>
      </c>
      <c r="C104" s="5">
        <f t="shared" si="2"/>
        <v>563.43531047178726</v>
      </c>
    </row>
    <row r="105" spans="1:6" ht="12.75" customHeight="1" thickBot="1" x14ac:dyDescent="0.3">
      <c r="A105" s="10">
        <v>28.270282229999999</v>
      </c>
      <c r="B105" s="5">
        <f t="shared" si="3"/>
        <v>9.4487726025381562</v>
      </c>
      <c r="C105" s="5">
        <f t="shared" si="2"/>
        <v>89.279303694475686</v>
      </c>
    </row>
    <row r="106" spans="1:6" ht="12.75" customHeight="1" thickBot="1" x14ac:dyDescent="0.3">
      <c r="A106" s="10">
        <v>55.55120007</v>
      </c>
      <c r="B106" s="5">
        <f t="shared" si="3"/>
        <v>17.832145237461845</v>
      </c>
      <c r="C106" s="5">
        <f t="shared" si="2"/>
        <v>317.98540376993316</v>
      </c>
    </row>
    <row r="107" spans="1:6" ht="12.75" customHeight="1" thickBot="1" x14ac:dyDescent="0.3">
      <c r="A107" s="10">
        <v>48.912541580000003</v>
      </c>
      <c r="B107" s="5">
        <f t="shared" si="3"/>
        <v>11.193486747461847</v>
      </c>
      <c r="C107" s="5">
        <f t="shared" si="2"/>
        <v>125.294145565604</v>
      </c>
    </row>
    <row r="108" spans="1:6" ht="12.75" customHeight="1" thickBot="1" x14ac:dyDescent="0.3">
      <c r="A108" s="10">
        <v>50.456480159999998</v>
      </c>
      <c r="B108" s="5">
        <f t="shared" si="3"/>
        <v>12.737425327461843</v>
      </c>
      <c r="C108" s="5">
        <f t="shared" si="2"/>
        <v>162.24200397266642</v>
      </c>
    </row>
    <row r="109" spans="1:6" ht="12.75" customHeight="1" thickBot="1" x14ac:dyDescent="0.3">
      <c r="A109" s="10">
        <v>14.953657829999999</v>
      </c>
      <c r="B109" s="5">
        <f t="shared" si="3"/>
        <v>22.765397002538158</v>
      </c>
      <c r="C109" s="5">
        <f t="shared" si="2"/>
        <v>518.26330068317338</v>
      </c>
    </row>
    <row r="110" spans="1:6" ht="12.75" customHeight="1" thickBot="1" x14ac:dyDescent="0.3">
      <c r="A110" s="10">
        <v>24.353975290000001</v>
      </c>
      <c r="B110" s="5">
        <f t="shared" si="3"/>
        <v>13.365079542538155</v>
      </c>
      <c r="C110" s="5">
        <f t="shared" si="2"/>
        <v>178.62535117837189</v>
      </c>
    </row>
    <row r="111" spans="1:6" ht="12.75" customHeight="1" thickBot="1" x14ac:dyDescent="0.3">
      <c r="A111" s="10">
        <v>32.81714659</v>
      </c>
      <c r="B111" s="5">
        <f t="shared" si="3"/>
        <v>4.9019082425381555</v>
      </c>
      <c r="C111" s="5">
        <f t="shared" si="2"/>
        <v>24.028704418263509</v>
      </c>
    </row>
    <row r="112" spans="1:6" ht="12.75" customHeight="1" thickBot="1" x14ac:dyDescent="0.3">
      <c r="A112" s="10">
        <v>52.076514629999998</v>
      </c>
      <c r="B112" s="5">
        <f t="shared" si="3"/>
        <v>14.357459797461843</v>
      </c>
      <c r="C112" s="5">
        <f t="shared" si="2"/>
        <v>206.13665183573306</v>
      </c>
    </row>
    <row r="113" spans="1:3" ht="12.75" customHeight="1" thickBot="1" x14ac:dyDescent="0.3">
      <c r="A113" s="10">
        <v>49.439524540000001</v>
      </c>
      <c r="B113" s="5">
        <f t="shared" si="3"/>
        <v>11.720469707461845</v>
      </c>
      <c r="C113" s="5">
        <f t="shared" si="2"/>
        <v>137.36941016353074</v>
      </c>
    </row>
    <row r="114" spans="1:3" ht="12.75" customHeight="1" thickBot="1" x14ac:dyDescent="0.3">
      <c r="A114" s="10">
        <v>43.202665760000002</v>
      </c>
      <c r="B114" s="5">
        <f t="shared" si="3"/>
        <v>5.4836109274618465</v>
      </c>
      <c r="C114" s="5">
        <f t="shared" si="2"/>
        <v>30.069988803778973</v>
      </c>
    </row>
    <row r="115" spans="1:3" ht="12.75" customHeight="1" thickBot="1" x14ac:dyDescent="0.3">
      <c r="A115" s="10">
        <v>58.894195709999998</v>
      </c>
      <c r="B115" s="5">
        <f t="shared" si="3"/>
        <v>21.175140877461843</v>
      </c>
      <c r="C115" s="5">
        <f t="shared" si="2"/>
        <v>448.38659118035548</v>
      </c>
    </row>
    <row r="116" spans="1:3" ht="12.75" customHeight="1" thickBot="1" x14ac:dyDescent="0.3">
      <c r="A116" s="10">
        <v>10</v>
      </c>
      <c r="B116" s="5">
        <f t="shared" si="3"/>
        <v>27.719054832538156</v>
      </c>
      <c r="C116" s="5">
        <f t="shared" si="2"/>
        <v>768.34600080925691</v>
      </c>
    </row>
    <row r="117" spans="1:3" ht="12.75" customHeight="1" thickBot="1" x14ac:dyDescent="0.3">
      <c r="A117" s="10">
        <v>12.49793187</v>
      </c>
      <c r="B117" s="5">
        <f t="shared" si="3"/>
        <v>25.221122962538153</v>
      </c>
      <c r="C117" s="5">
        <f t="shared" si="2"/>
        <v>636.10504349146936</v>
      </c>
    </row>
    <row r="118" spans="1:3" ht="12.75" customHeight="1" thickBot="1" x14ac:dyDescent="0.3">
      <c r="A118" s="10">
        <v>40.956331630000001</v>
      </c>
      <c r="B118" s="5">
        <f t="shared" si="3"/>
        <v>3.2372767974618455</v>
      </c>
      <c r="C118" s="5">
        <f t="shared" si="2"/>
        <v>10.479961063384822</v>
      </c>
    </row>
    <row r="119" spans="1:3" ht="12.75" customHeight="1" thickBot="1" x14ac:dyDescent="0.3">
      <c r="A119" s="10">
        <v>55.335034950000001</v>
      </c>
      <c r="B119" s="5">
        <f t="shared" si="3"/>
        <v>17.615980117461845</v>
      </c>
      <c r="C119" s="5">
        <f t="shared" si="2"/>
        <v>310.32275549881103</v>
      </c>
    </row>
    <row r="120" spans="1:3" ht="12.75" customHeight="1" thickBot="1" x14ac:dyDescent="0.3">
      <c r="A120" s="10">
        <v>38.645528120000002</v>
      </c>
      <c r="B120" s="5">
        <f t="shared" si="3"/>
        <v>0.92647328746184598</v>
      </c>
      <c r="C120" s="5">
        <f t="shared" si="2"/>
        <v>0.85835275238036035</v>
      </c>
    </row>
    <row r="121" spans="1:3" ht="12.75" customHeight="1" thickBot="1" x14ac:dyDescent="0.3">
      <c r="A121" s="10">
        <v>26.69426181</v>
      </c>
      <c r="B121" s="5">
        <f t="shared" si="3"/>
        <v>11.024793022538155</v>
      </c>
      <c r="C121" s="5">
        <f t="shared" si="2"/>
        <v>121.546061189806</v>
      </c>
    </row>
    <row r="122" spans="1:3" ht="12.75" customHeight="1" thickBot="1" x14ac:dyDescent="0.3">
      <c r="A122" s="10">
        <v>56.886789530000001</v>
      </c>
      <c r="B122" s="5">
        <f t="shared" si="3"/>
        <v>19.167734697461846</v>
      </c>
      <c r="C122" s="5">
        <f t="shared" si="2"/>
        <v>367.40205343228274</v>
      </c>
    </row>
    <row r="123" spans="1:3" ht="12.75" customHeight="1" thickBot="1" x14ac:dyDescent="0.3">
      <c r="A123" s="10">
        <v>63.10770677</v>
      </c>
      <c r="B123" s="5">
        <f t="shared" si="3"/>
        <v>25.388651937461844</v>
      </c>
      <c r="C123" s="5">
        <f t="shared" si="2"/>
        <v>644.58364720158511</v>
      </c>
    </row>
    <row r="124" spans="1:3" ht="12.75" customHeight="1" thickBot="1" x14ac:dyDescent="0.3">
      <c r="A124" s="10">
        <v>60.160317759999998</v>
      </c>
      <c r="B124" s="5">
        <f t="shared" si="3"/>
        <v>22.441262927461842</v>
      </c>
      <c r="C124" s="5">
        <f t="shared" si="2"/>
        <v>503.61028177947327</v>
      </c>
    </row>
    <row r="125" spans="1:3" ht="12.75" customHeight="1" thickBot="1" x14ac:dyDescent="0.3">
      <c r="A125" s="10">
        <v>22.509884169999999</v>
      </c>
      <c r="B125" s="5">
        <f t="shared" si="3"/>
        <v>15.209170662538156</v>
      </c>
      <c r="C125" s="5">
        <f t="shared" si="2"/>
        <v>231.31887224221134</v>
      </c>
    </row>
    <row r="126" spans="1:3" ht="12.75" customHeight="1" thickBot="1" x14ac:dyDescent="0.3">
      <c r="A126" s="10">
        <v>47.079097879999999</v>
      </c>
      <c r="B126" s="5">
        <f t="shared" si="3"/>
        <v>9.3600430474618435</v>
      </c>
      <c r="C126" s="5">
        <f t="shared" si="2"/>
        <v>87.610405850338793</v>
      </c>
    </row>
    <row r="127" spans="1:3" ht="12.75" customHeight="1" thickBot="1" x14ac:dyDescent="0.3">
      <c r="A127" s="10">
        <v>48.996671380000002</v>
      </c>
      <c r="B127" s="5">
        <f t="shared" si="3"/>
        <v>11.277616547461847</v>
      </c>
      <c r="C127" s="5">
        <f t="shared" si="2"/>
        <v>127.18463499158526</v>
      </c>
    </row>
    <row r="128" spans="1:3" ht="12.75" customHeight="1" thickBot="1" x14ac:dyDescent="0.3">
      <c r="A128" s="10">
        <v>53.007474760000001</v>
      </c>
      <c r="B128" s="5">
        <f t="shared" si="3"/>
        <v>15.288419927461845</v>
      </c>
      <c r="C128" s="5">
        <f t="shared" si="2"/>
        <v>233.73578387841246</v>
      </c>
    </row>
    <row r="129" spans="1:3" ht="12.75" customHeight="1" thickBot="1" x14ac:dyDescent="0.3">
      <c r="A129" s="10">
        <v>52.70629271</v>
      </c>
      <c r="B129" s="5">
        <f t="shared" si="3"/>
        <v>14.987237877461844</v>
      </c>
      <c r="C129" s="5">
        <f t="shared" si="2"/>
        <v>224.617299195627</v>
      </c>
    </row>
    <row r="130" spans="1:3" ht="12.75" customHeight="1" thickBot="1" x14ac:dyDescent="0.3">
      <c r="A130" s="10">
        <v>27.259379450000001</v>
      </c>
      <c r="B130" s="5">
        <f t="shared" si="3"/>
        <v>10.459675382538155</v>
      </c>
      <c r="C130" s="5">
        <f t="shared" si="2"/>
        <v>109.40480910807469</v>
      </c>
    </row>
    <row r="131" spans="1:3" ht="12.75" customHeight="1" thickBot="1" x14ac:dyDescent="0.3">
      <c r="A131" s="10">
        <v>28.398936490000001</v>
      </c>
      <c r="B131" s="5">
        <f t="shared" si="3"/>
        <v>9.3201183425381551</v>
      </c>
      <c r="C131" s="5">
        <f t="shared" ref="C131:C194" si="4">POWER(B131,2)</f>
        <v>86.864605918916169</v>
      </c>
    </row>
    <row r="132" spans="1:3" ht="12.75" customHeight="1" thickBot="1" x14ac:dyDescent="0.3">
      <c r="A132" s="10">
        <v>35.235896830000002</v>
      </c>
      <c r="B132" s="5">
        <f t="shared" si="3"/>
        <v>2.4831580025381541</v>
      </c>
      <c r="C132" s="5">
        <f t="shared" si="4"/>
        <v>6.1660736655692752</v>
      </c>
    </row>
    <row r="133" spans="1:3" ht="12.75" customHeight="1" thickBot="1" x14ac:dyDescent="0.3">
      <c r="A133" s="10">
        <v>41.08940123</v>
      </c>
      <c r="B133" s="5">
        <f t="shared" si="3"/>
        <v>3.3703463974618444</v>
      </c>
      <c r="C133" s="5">
        <f t="shared" si="4"/>
        <v>11.359234838884033</v>
      </c>
    </row>
    <row r="134" spans="1:3" ht="12.75" customHeight="1" thickBot="1" x14ac:dyDescent="0.3">
      <c r="A134" s="10">
        <v>15.97422662</v>
      </c>
      <c r="B134" s="5">
        <f t="shared" si="3"/>
        <v>21.744828212538156</v>
      </c>
      <c r="C134" s="5">
        <f t="shared" si="4"/>
        <v>472.83755399279534</v>
      </c>
    </row>
    <row r="135" spans="1:3" ht="12.75" customHeight="1" thickBot="1" x14ac:dyDescent="0.3">
      <c r="A135" s="10">
        <v>13.51657116</v>
      </c>
      <c r="B135" s="5">
        <f t="shared" si="3"/>
        <v>24.202483672538158</v>
      </c>
      <c r="C135" s="5">
        <f t="shared" si="4"/>
        <v>585.76021591947608</v>
      </c>
    </row>
    <row r="136" spans="1:3" ht="12.75" customHeight="1" thickBot="1" x14ac:dyDescent="0.3">
      <c r="A136" s="10">
        <v>27.336945279999998</v>
      </c>
      <c r="B136" s="5">
        <f t="shared" si="3"/>
        <v>10.382109552538157</v>
      </c>
      <c r="C136" s="5">
        <f t="shared" si="4"/>
        <v>107.78819876090405</v>
      </c>
    </row>
    <row r="137" spans="1:3" ht="12.75" customHeight="1" thickBot="1" x14ac:dyDescent="0.3">
      <c r="A137" s="10">
        <v>39.669908100000001</v>
      </c>
      <c r="B137" s="5">
        <f t="shared" ref="B137:B200" si="5">ABS(A137-$E$2)</f>
        <v>1.9508532674618451</v>
      </c>
      <c r="C137" s="5">
        <f t="shared" si="4"/>
        <v>3.8058284711665573</v>
      </c>
    </row>
    <row r="138" spans="1:3" ht="12.75" customHeight="1" thickBot="1" x14ac:dyDescent="0.3">
      <c r="A138" s="10">
        <v>40.762605909999998</v>
      </c>
      <c r="B138" s="5">
        <f t="shared" si="5"/>
        <v>3.0435510774618422</v>
      </c>
      <c r="C138" s="5">
        <f t="shared" si="4"/>
        <v>9.2632031611191401</v>
      </c>
    </row>
    <row r="139" spans="1:3" ht="12.75" customHeight="1" thickBot="1" x14ac:dyDescent="0.3">
      <c r="A139" s="10">
        <v>13.462453249999999</v>
      </c>
      <c r="B139" s="5">
        <f t="shared" si="5"/>
        <v>24.256601582538156</v>
      </c>
      <c r="C139" s="5">
        <f t="shared" si="4"/>
        <v>588.38272033399255</v>
      </c>
    </row>
    <row r="140" spans="1:3" ht="12.75" customHeight="1" thickBot="1" x14ac:dyDescent="0.3">
      <c r="A140" s="10">
        <v>55.578133829999999</v>
      </c>
      <c r="B140" s="5">
        <f t="shared" si="5"/>
        <v>17.859078997461843</v>
      </c>
      <c r="C140" s="5">
        <f t="shared" si="4"/>
        <v>318.94670263758269</v>
      </c>
    </row>
    <row r="141" spans="1:3" ht="12.75" customHeight="1" thickBot="1" x14ac:dyDescent="0.3">
      <c r="A141" s="10">
        <v>59.658829429999997</v>
      </c>
      <c r="B141" s="5">
        <f t="shared" si="5"/>
        <v>21.939774597461842</v>
      </c>
      <c r="C141" s="5">
        <f t="shared" si="4"/>
        <v>481.35370938743193</v>
      </c>
    </row>
    <row r="142" spans="1:3" ht="12.75" customHeight="1" thickBot="1" x14ac:dyDescent="0.3">
      <c r="A142" s="10">
        <v>58.712839580000001</v>
      </c>
      <c r="B142" s="5">
        <f t="shared" si="5"/>
        <v>20.993784747461845</v>
      </c>
      <c r="C142" s="5">
        <f t="shared" si="4"/>
        <v>440.73899802276162</v>
      </c>
    </row>
    <row r="143" spans="1:3" ht="12.75" customHeight="1" thickBot="1" x14ac:dyDescent="0.3">
      <c r="A143" s="10">
        <v>31.997869560000002</v>
      </c>
      <c r="B143" s="5">
        <f t="shared" si="5"/>
        <v>5.721185272538154</v>
      </c>
      <c r="C143" s="5">
        <f t="shared" si="4"/>
        <v>32.731960922707472</v>
      </c>
    </row>
    <row r="144" spans="1:3" ht="12.75" customHeight="1" thickBot="1" x14ac:dyDescent="0.3">
      <c r="A144" s="10">
        <v>43.220326059999998</v>
      </c>
      <c r="B144" s="5">
        <f t="shared" si="5"/>
        <v>5.5012712274618423</v>
      </c>
      <c r="C144" s="5">
        <f t="shared" si="4"/>
        <v>30.263985118099527</v>
      </c>
    </row>
    <row r="145" spans="1:3" ht="12.75" customHeight="1" thickBot="1" x14ac:dyDescent="0.3">
      <c r="A145" s="10">
        <v>58.38207894</v>
      </c>
      <c r="B145" s="5">
        <f t="shared" si="5"/>
        <v>20.663024107461844</v>
      </c>
      <c r="C145" s="5">
        <f t="shared" si="4"/>
        <v>426.96056526554935</v>
      </c>
    </row>
    <row r="146" spans="1:3" ht="12.75" customHeight="1" thickBot="1" x14ac:dyDescent="0.3">
      <c r="A146" s="10">
        <v>62.49108313</v>
      </c>
      <c r="B146" s="5">
        <f t="shared" si="5"/>
        <v>24.772028297461844</v>
      </c>
      <c r="C146" s="5">
        <f t="shared" si="4"/>
        <v>613.65338597025038</v>
      </c>
    </row>
    <row r="147" spans="1:3" ht="12.75" customHeight="1" thickBot="1" x14ac:dyDescent="0.3">
      <c r="A147" s="10">
        <v>42.429592059999997</v>
      </c>
      <c r="B147" s="5">
        <f t="shared" si="5"/>
        <v>4.7105372274618418</v>
      </c>
      <c r="C147" s="5">
        <f t="shared" si="4"/>
        <v>22.189160971303895</v>
      </c>
    </row>
    <row r="148" spans="1:3" ht="12.75" customHeight="1" thickBot="1" x14ac:dyDescent="0.3">
      <c r="A148" s="10">
        <v>21.279459209999999</v>
      </c>
      <c r="B148" s="5">
        <f t="shared" si="5"/>
        <v>16.439595622538157</v>
      </c>
      <c r="C148" s="5">
        <f t="shared" si="4"/>
        <v>270.26030423257572</v>
      </c>
    </row>
    <row r="149" spans="1:3" ht="12.75" customHeight="1" thickBot="1" x14ac:dyDescent="0.3">
      <c r="A149" s="10">
        <v>36.338057669999998</v>
      </c>
      <c r="B149" s="5">
        <f t="shared" si="5"/>
        <v>1.3809971625381579</v>
      </c>
      <c r="C149" s="5">
        <f t="shared" si="4"/>
        <v>1.9071531629384433</v>
      </c>
    </row>
    <row r="150" spans="1:3" ht="12.75" customHeight="1" thickBot="1" x14ac:dyDescent="0.3">
      <c r="A150" s="10">
        <v>26.504615470000001</v>
      </c>
      <c r="B150" s="5">
        <f t="shared" si="5"/>
        <v>11.214439362538155</v>
      </c>
      <c r="C150" s="5">
        <f t="shared" si="4"/>
        <v>125.76365021604518</v>
      </c>
    </row>
    <row r="151" spans="1:3" ht="12.75" customHeight="1" thickBot="1" x14ac:dyDescent="0.3">
      <c r="A151" s="10">
        <v>13.884759109999999</v>
      </c>
      <c r="B151" s="5">
        <f t="shared" si="5"/>
        <v>23.834295722538158</v>
      </c>
      <c r="C151" s="5">
        <f t="shared" si="4"/>
        <v>568.07365258940069</v>
      </c>
    </row>
    <row r="152" spans="1:3" ht="12.75" customHeight="1" thickBot="1" x14ac:dyDescent="0.3">
      <c r="A152" s="10">
        <v>13.540934650000001</v>
      </c>
      <c r="B152" s="5">
        <f t="shared" si="5"/>
        <v>24.178120182538155</v>
      </c>
      <c r="C152" s="5">
        <f t="shared" si="4"/>
        <v>584.58149556125886</v>
      </c>
    </row>
    <row r="153" spans="1:3" ht="12.75" customHeight="1" thickBot="1" x14ac:dyDescent="0.3">
      <c r="A153" s="10">
        <v>18.781085149999999</v>
      </c>
      <c r="B153" s="5">
        <f t="shared" si="5"/>
        <v>18.937969682538156</v>
      </c>
      <c r="C153" s="5">
        <f t="shared" si="4"/>
        <v>358.64669569673435</v>
      </c>
    </row>
    <row r="154" spans="1:3" ht="12.75" customHeight="1" thickBot="1" x14ac:dyDescent="0.3">
      <c r="A154" s="10">
        <v>57.002236199999999</v>
      </c>
      <c r="B154" s="5">
        <f t="shared" si="5"/>
        <v>19.283181367461843</v>
      </c>
      <c r="C154" s="5">
        <f t="shared" si="4"/>
        <v>371.84108365042761</v>
      </c>
    </row>
    <row r="155" spans="1:3" ht="12.75" customHeight="1" thickBot="1" x14ac:dyDescent="0.3">
      <c r="A155" s="10">
        <v>57.095654260000003</v>
      </c>
      <c r="B155" s="5">
        <f t="shared" si="5"/>
        <v>19.376599427461848</v>
      </c>
      <c r="C155" s="5">
        <f t="shared" si="4"/>
        <v>375.45260537231479</v>
      </c>
    </row>
    <row r="156" spans="1:3" ht="12.75" customHeight="1" thickBot="1" x14ac:dyDescent="0.3">
      <c r="A156" s="10">
        <v>36.890847370000003</v>
      </c>
      <c r="B156" s="5">
        <f t="shared" si="5"/>
        <v>0.82820746253815258</v>
      </c>
      <c r="C156" s="5">
        <f t="shared" si="4"/>
        <v>0.68592760100388539</v>
      </c>
    </row>
    <row r="157" spans="1:3" ht="12.75" customHeight="1" thickBot="1" x14ac:dyDescent="0.3">
      <c r="A157" s="10">
        <v>50.768330079999998</v>
      </c>
      <c r="B157" s="5">
        <f t="shared" si="5"/>
        <v>13.049275247461843</v>
      </c>
      <c r="C157" s="5">
        <f t="shared" si="4"/>
        <v>170.28358448402034</v>
      </c>
    </row>
    <row r="158" spans="1:3" ht="12.75" customHeight="1" thickBot="1" x14ac:dyDescent="0.3">
      <c r="A158" s="10">
        <v>31.13615583</v>
      </c>
      <c r="B158" s="5">
        <f t="shared" si="5"/>
        <v>6.5828990025381557</v>
      </c>
      <c r="C158" s="5">
        <f t="shared" si="4"/>
        <v>43.334559277617849</v>
      </c>
    </row>
    <row r="159" spans="1:3" ht="12.75" customHeight="1" thickBot="1" x14ac:dyDescent="0.3">
      <c r="A159" s="10">
        <v>24.34246894</v>
      </c>
      <c r="B159" s="5">
        <f t="shared" si="5"/>
        <v>13.376585892538156</v>
      </c>
      <c r="C159" s="5">
        <f t="shared" si="4"/>
        <v>178.9330501404508</v>
      </c>
    </row>
    <row r="160" spans="1:3" ht="12.75" customHeight="1" thickBot="1" x14ac:dyDescent="0.3">
      <c r="A160" s="10">
        <v>13.256166070000001</v>
      </c>
      <c r="B160" s="5">
        <f t="shared" si="5"/>
        <v>24.462888762538157</v>
      </c>
      <c r="C160" s="5">
        <f t="shared" si="4"/>
        <v>598.4329266083156</v>
      </c>
    </row>
    <row r="161" spans="1:3" ht="12.75" customHeight="1" thickBot="1" x14ac:dyDescent="0.3">
      <c r="A161" s="10">
        <v>14.956215419999999</v>
      </c>
      <c r="B161" s="5">
        <f t="shared" si="5"/>
        <v>22.762839412538156</v>
      </c>
      <c r="C161" s="5">
        <f t="shared" si="4"/>
        <v>518.14685812100038</v>
      </c>
    </row>
    <row r="162" spans="1:3" ht="12.75" customHeight="1" thickBot="1" x14ac:dyDescent="0.3">
      <c r="A162" s="10">
        <v>46.619333019999999</v>
      </c>
      <c r="B162" s="5">
        <f t="shared" si="5"/>
        <v>8.9002781874618435</v>
      </c>
      <c r="C162" s="5">
        <f t="shared" si="4"/>
        <v>79.214951814209073</v>
      </c>
    </row>
    <row r="163" spans="1:3" ht="12.75" customHeight="1" thickBot="1" x14ac:dyDescent="0.3">
      <c r="A163" s="10">
        <v>58.266050870000001</v>
      </c>
      <c r="B163" s="5">
        <f t="shared" si="5"/>
        <v>20.546996037461845</v>
      </c>
      <c r="C163" s="5">
        <f t="shared" si="4"/>
        <v>422.17904616347278</v>
      </c>
    </row>
    <row r="164" spans="1:3" ht="12.75" customHeight="1" thickBot="1" x14ac:dyDescent="0.3">
      <c r="A164" s="10">
        <v>43.454364259999998</v>
      </c>
      <c r="B164" s="5">
        <f t="shared" si="5"/>
        <v>5.7353094274618428</v>
      </c>
      <c r="C164" s="5">
        <f t="shared" si="4"/>
        <v>32.893774228732688</v>
      </c>
    </row>
    <row r="165" spans="1:3" ht="12.75" customHeight="1" thickBot="1" x14ac:dyDescent="0.3">
      <c r="A165" s="10">
        <v>40.158190959999999</v>
      </c>
      <c r="B165" s="5">
        <f t="shared" si="5"/>
        <v>2.4391361274618433</v>
      </c>
      <c r="C165" s="5">
        <f t="shared" si="4"/>
        <v>5.9493850482895576</v>
      </c>
    </row>
    <row r="166" spans="1:3" ht="12.75" customHeight="1" thickBot="1" x14ac:dyDescent="0.3">
      <c r="A166" s="10">
        <v>61.613250540000003</v>
      </c>
      <c r="B166" s="5">
        <f t="shared" si="5"/>
        <v>23.894195707461847</v>
      </c>
      <c r="C166" s="5">
        <f t="shared" si="4"/>
        <v>570.93258850648817</v>
      </c>
    </row>
    <row r="167" spans="1:3" ht="12.75" customHeight="1" thickBot="1" x14ac:dyDescent="0.3">
      <c r="A167" s="10">
        <v>27.36047164</v>
      </c>
      <c r="B167" s="5">
        <f t="shared" si="5"/>
        <v>10.358583192538156</v>
      </c>
      <c r="C167" s="5">
        <f t="shared" si="4"/>
        <v>107.30024575673397</v>
      </c>
    </row>
    <row r="168" spans="1:3" ht="12.75" customHeight="1" thickBot="1" x14ac:dyDescent="0.3">
      <c r="A168" s="10">
        <v>44.177947410000002</v>
      </c>
      <c r="B168" s="5">
        <f t="shared" si="5"/>
        <v>6.458892577461846</v>
      </c>
      <c r="C168" s="5">
        <f t="shared" si="4"/>
        <v>41.717293327191726</v>
      </c>
    </row>
    <row r="169" spans="1:3" ht="12.75" customHeight="1" thickBot="1" x14ac:dyDescent="0.3">
      <c r="A169" s="10">
        <v>11.88739515</v>
      </c>
      <c r="B169" s="5">
        <f t="shared" si="5"/>
        <v>25.831659682538156</v>
      </c>
      <c r="C169" s="5">
        <f t="shared" si="4"/>
        <v>667.27464195446726</v>
      </c>
    </row>
    <row r="170" spans="1:3" ht="12.75" customHeight="1" thickBot="1" x14ac:dyDescent="0.3">
      <c r="A170" s="10">
        <v>40.206205599999997</v>
      </c>
      <c r="B170" s="5">
        <f t="shared" si="5"/>
        <v>2.4871507674618414</v>
      </c>
      <c r="C170" s="5">
        <f t="shared" si="4"/>
        <v>6.1859189400860268</v>
      </c>
    </row>
    <row r="171" spans="1:3" ht="12.75" customHeight="1" thickBot="1" x14ac:dyDescent="0.3">
      <c r="A171" s="10">
        <v>18.507042120000001</v>
      </c>
      <c r="B171" s="5">
        <f t="shared" si="5"/>
        <v>19.212012712538154</v>
      </c>
      <c r="C171" s="5">
        <f t="shared" si="4"/>
        <v>369.10143246672766</v>
      </c>
    </row>
    <row r="172" spans="1:3" ht="12.75" customHeight="1" thickBot="1" x14ac:dyDescent="0.3">
      <c r="A172" s="10">
        <v>27.169095850000001</v>
      </c>
      <c r="B172" s="5">
        <f t="shared" si="5"/>
        <v>10.549958982538154</v>
      </c>
      <c r="C172" s="5">
        <f t="shared" si="4"/>
        <v>111.30163453323749</v>
      </c>
    </row>
    <row r="173" spans="1:3" ht="12.75" customHeight="1" thickBot="1" x14ac:dyDescent="0.3">
      <c r="A173" s="10">
        <v>42.752931650000001</v>
      </c>
      <c r="B173" s="5">
        <f t="shared" si="5"/>
        <v>5.0338768174618451</v>
      </c>
      <c r="C173" s="5">
        <f t="shared" si="4"/>
        <v>25.339915813379793</v>
      </c>
    </row>
    <row r="174" spans="1:3" ht="12.75" customHeight="1" thickBot="1" x14ac:dyDescent="0.3">
      <c r="A174" s="10">
        <v>16.76950399</v>
      </c>
      <c r="B174" s="5">
        <f t="shared" si="5"/>
        <v>20.949550842538155</v>
      </c>
      <c r="C174" s="5">
        <f t="shared" si="4"/>
        <v>438.8836805040911</v>
      </c>
    </row>
    <row r="175" spans="1:3" ht="12.75" customHeight="1" thickBot="1" x14ac:dyDescent="0.3">
      <c r="A175" s="10">
        <v>13.92222836</v>
      </c>
      <c r="B175" s="5">
        <f t="shared" si="5"/>
        <v>23.796826472538157</v>
      </c>
      <c r="C175" s="5">
        <f t="shared" si="4"/>
        <v>566.28895016409285</v>
      </c>
    </row>
    <row r="176" spans="1:3" ht="12.75" customHeight="1" thickBot="1" x14ac:dyDescent="0.3">
      <c r="A176" s="10">
        <v>27.237786100000001</v>
      </c>
      <c r="B176" s="5">
        <f t="shared" si="5"/>
        <v>10.481268732538155</v>
      </c>
      <c r="C176" s="5">
        <f t="shared" si="4"/>
        <v>109.85699424368197</v>
      </c>
    </row>
    <row r="177" spans="1:3" ht="12.75" customHeight="1" thickBot="1" x14ac:dyDescent="0.3">
      <c r="A177" s="10">
        <v>12.6362647</v>
      </c>
      <c r="B177" s="5">
        <f t="shared" si="5"/>
        <v>25.082790132538157</v>
      </c>
      <c r="C177" s="5">
        <f t="shared" si="4"/>
        <v>629.14636083295352</v>
      </c>
    </row>
    <row r="178" spans="1:3" ht="12.75" customHeight="1" thickBot="1" x14ac:dyDescent="0.3">
      <c r="A178" s="10">
        <v>23.664388590000001</v>
      </c>
      <c r="B178" s="5">
        <f t="shared" si="5"/>
        <v>14.054666242538154</v>
      </c>
      <c r="C178" s="5">
        <f t="shared" si="4"/>
        <v>197.53364318914154</v>
      </c>
    </row>
    <row r="179" spans="1:3" ht="12.75" customHeight="1" thickBot="1" x14ac:dyDescent="0.3">
      <c r="A179" s="10">
        <v>23.390242529999998</v>
      </c>
      <c r="B179" s="5">
        <f t="shared" si="5"/>
        <v>14.328812302538157</v>
      </c>
      <c r="C179" s="5">
        <f t="shared" si="4"/>
        <v>205.31486200136885</v>
      </c>
    </row>
    <row r="180" spans="1:3" ht="12.75" customHeight="1" thickBot="1" x14ac:dyDescent="0.3">
      <c r="A180" s="10">
        <v>44.956848579999999</v>
      </c>
      <c r="B180" s="5">
        <f t="shared" si="5"/>
        <v>7.2377937474618435</v>
      </c>
      <c r="C180" s="5">
        <f t="shared" si="4"/>
        <v>52.385658330797753</v>
      </c>
    </row>
    <row r="181" spans="1:3" ht="12.75" customHeight="1" thickBot="1" x14ac:dyDescent="0.3">
      <c r="A181" s="10">
        <v>24.695572640000002</v>
      </c>
      <c r="B181" s="5">
        <f t="shared" si="5"/>
        <v>13.023482192538154</v>
      </c>
      <c r="C181" s="5">
        <f t="shared" si="4"/>
        <v>169.6110884193584</v>
      </c>
    </row>
    <row r="182" spans="1:3" ht="12.75" customHeight="1" thickBot="1" x14ac:dyDescent="0.3">
      <c r="A182" s="10">
        <v>47.293776129999998</v>
      </c>
      <c r="B182" s="5">
        <f t="shared" si="5"/>
        <v>9.5747212974618421</v>
      </c>
      <c r="C182" s="5">
        <f t="shared" si="4"/>
        <v>91.67528792406938</v>
      </c>
    </row>
    <row r="183" spans="1:3" ht="12.75" customHeight="1" thickBot="1" x14ac:dyDescent="0.3">
      <c r="A183" s="10">
        <v>18.443999000000002</v>
      </c>
      <c r="B183" s="5">
        <f t="shared" si="5"/>
        <v>19.275055832538154</v>
      </c>
      <c r="C183" s="5">
        <f t="shared" si="4"/>
        <v>371.52777734746309</v>
      </c>
    </row>
    <row r="184" spans="1:3" ht="12.75" customHeight="1" thickBot="1" x14ac:dyDescent="0.3">
      <c r="A184" s="10">
        <v>44.482429850000003</v>
      </c>
      <c r="B184" s="5">
        <f t="shared" si="5"/>
        <v>6.763375017461847</v>
      </c>
      <c r="C184" s="5">
        <f t="shared" si="4"/>
        <v>45.743241626827036</v>
      </c>
    </row>
    <row r="185" spans="1:3" ht="12.75" customHeight="1" thickBot="1" x14ac:dyDescent="0.3">
      <c r="A185" s="10">
        <v>12.083710890000001</v>
      </c>
      <c r="B185" s="5">
        <f t="shared" si="5"/>
        <v>25.635343942538157</v>
      </c>
      <c r="C185" s="5">
        <f t="shared" si="4"/>
        <v>657.1708590522278</v>
      </c>
    </row>
    <row r="186" spans="1:3" ht="12.75" customHeight="1" thickBot="1" x14ac:dyDescent="0.3">
      <c r="A186" s="10">
        <v>17.89200567</v>
      </c>
      <c r="B186" s="5">
        <f t="shared" si="5"/>
        <v>19.827049162538156</v>
      </c>
      <c r="C186" s="5">
        <f t="shared" si="4"/>
        <v>393.11187849370498</v>
      </c>
    </row>
    <row r="187" spans="1:3" ht="12.75" customHeight="1" thickBot="1" x14ac:dyDescent="0.3">
      <c r="A187" s="10">
        <v>12.917459210000001</v>
      </c>
      <c r="B187" s="5">
        <f t="shared" si="5"/>
        <v>24.801595622538155</v>
      </c>
      <c r="C187" s="5">
        <f t="shared" si="4"/>
        <v>615.11914542390377</v>
      </c>
    </row>
    <row r="188" spans="1:3" ht="12.75" customHeight="1" thickBot="1" x14ac:dyDescent="0.3">
      <c r="A188" s="10">
        <v>46.626805609999998</v>
      </c>
      <c r="B188" s="5">
        <f t="shared" si="5"/>
        <v>8.9077507774618425</v>
      </c>
      <c r="C188" s="5">
        <f t="shared" si="4"/>
        <v>79.34802391337206</v>
      </c>
    </row>
    <row r="189" spans="1:3" ht="12.75" customHeight="1" thickBot="1" x14ac:dyDescent="0.3">
      <c r="A189" s="10">
        <v>51.247329880000002</v>
      </c>
      <c r="B189" s="5">
        <f t="shared" si="5"/>
        <v>13.528275047461847</v>
      </c>
      <c r="C189" s="5">
        <f t="shared" si="4"/>
        <v>183.01422575977884</v>
      </c>
    </row>
    <row r="190" spans="1:3" ht="12.75" customHeight="1" thickBot="1" x14ac:dyDescent="0.3">
      <c r="A190" s="10">
        <v>25.6346645</v>
      </c>
      <c r="B190" s="5">
        <f t="shared" si="5"/>
        <v>12.084390332538156</v>
      </c>
      <c r="C190" s="5">
        <f t="shared" si="4"/>
        <v>146.03248970914166</v>
      </c>
    </row>
    <row r="191" spans="1:3" ht="12.75" customHeight="1" thickBot="1" x14ac:dyDescent="0.3">
      <c r="A191" s="10">
        <v>25.362728990000001</v>
      </c>
      <c r="B191" s="5">
        <f t="shared" si="5"/>
        <v>12.356325842538155</v>
      </c>
      <c r="C191" s="5">
        <f t="shared" si="4"/>
        <v>152.67878832697625</v>
      </c>
    </row>
    <row r="192" spans="1:3" ht="12.75" customHeight="1" thickBot="1" x14ac:dyDescent="0.3">
      <c r="A192" s="10">
        <v>19.843236869999998</v>
      </c>
      <c r="B192" s="5">
        <f t="shared" si="5"/>
        <v>17.875817962538157</v>
      </c>
      <c r="C192" s="5">
        <f t="shared" si="4"/>
        <v>319.54486782980183</v>
      </c>
    </row>
    <row r="193" spans="1:3" ht="12.75" customHeight="1" thickBot="1" x14ac:dyDescent="0.3">
      <c r="A193" s="10">
        <v>55.784620140000001</v>
      </c>
      <c r="B193" s="5">
        <f t="shared" si="5"/>
        <v>18.065565307461846</v>
      </c>
      <c r="C193" s="5">
        <f t="shared" si="4"/>
        <v>326.36464987816902</v>
      </c>
    </row>
    <row r="194" spans="1:3" ht="12.75" customHeight="1" thickBot="1" x14ac:dyDescent="0.3">
      <c r="A194" s="10">
        <v>14.065158370000001</v>
      </c>
      <c r="B194" s="5">
        <f t="shared" si="5"/>
        <v>23.653896462538157</v>
      </c>
      <c r="C194" s="5">
        <f t="shared" si="4"/>
        <v>559.50681786047517</v>
      </c>
    </row>
    <row r="195" spans="1:3" ht="12.75" customHeight="1" thickBot="1" x14ac:dyDescent="0.3">
      <c r="A195" s="10">
        <v>42.400002149999999</v>
      </c>
      <c r="B195" s="5">
        <f t="shared" si="5"/>
        <v>4.6809473174618432</v>
      </c>
      <c r="C195" s="5">
        <f t="shared" ref="C195:C258" si="6">POWER(B195,2)</f>
        <v>21.911267788853227</v>
      </c>
    </row>
    <row r="196" spans="1:3" ht="12.75" customHeight="1" thickBot="1" x14ac:dyDescent="0.3">
      <c r="A196" s="10">
        <v>36.079389290000002</v>
      </c>
      <c r="B196" s="5">
        <f t="shared" si="5"/>
        <v>1.6396655425381539</v>
      </c>
      <c r="C196" s="5">
        <f t="shared" si="6"/>
        <v>2.6885030913869383</v>
      </c>
    </row>
    <row r="197" spans="1:3" ht="12.75" customHeight="1" thickBot="1" x14ac:dyDescent="0.3">
      <c r="A197" s="10">
        <v>19.608362979999999</v>
      </c>
      <c r="B197" s="5">
        <f t="shared" si="5"/>
        <v>18.110691852538157</v>
      </c>
      <c r="C197" s="5">
        <f t="shared" si="6"/>
        <v>327.99715937759197</v>
      </c>
    </row>
    <row r="198" spans="1:3" ht="12.75" customHeight="1" thickBot="1" x14ac:dyDescent="0.3">
      <c r="A198" s="10">
        <v>33.678102869999996</v>
      </c>
      <c r="B198" s="5">
        <f t="shared" si="5"/>
        <v>4.0409519625381591</v>
      </c>
      <c r="C198" s="5">
        <f t="shared" si="6"/>
        <v>16.329292763540998</v>
      </c>
    </row>
    <row r="199" spans="1:3" ht="12.75" customHeight="1" thickBot="1" x14ac:dyDescent="0.3">
      <c r="A199" s="10">
        <v>15.717485099999999</v>
      </c>
      <c r="B199" s="5">
        <f t="shared" si="5"/>
        <v>22.001569732538158</v>
      </c>
      <c r="C199" s="5">
        <f t="shared" si="6"/>
        <v>484.06907069573919</v>
      </c>
    </row>
    <row r="200" spans="1:3" ht="12.75" customHeight="1" thickBot="1" x14ac:dyDescent="0.3">
      <c r="A200" s="10">
        <v>50.799306680000001</v>
      </c>
      <c r="B200" s="5">
        <f t="shared" si="5"/>
        <v>13.080251847461845</v>
      </c>
      <c r="C200" s="5">
        <f t="shared" si="6"/>
        <v>171.092988393029</v>
      </c>
    </row>
    <row r="201" spans="1:3" ht="12.75" customHeight="1" thickBot="1" x14ac:dyDescent="0.3">
      <c r="A201" s="10">
        <v>22.259519529999999</v>
      </c>
      <c r="B201" s="5">
        <f t="shared" ref="B201:B264" si="7">ABS(A201-$E$2)</f>
        <v>15.459535302538157</v>
      </c>
      <c r="C201" s="5">
        <f t="shared" si="6"/>
        <v>238.99723177042355</v>
      </c>
    </row>
    <row r="202" spans="1:3" ht="12.75" customHeight="1" thickBot="1" x14ac:dyDescent="0.3">
      <c r="A202" s="10">
        <v>30.359206390000001</v>
      </c>
      <c r="B202" s="5">
        <f t="shared" si="7"/>
        <v>7.359848442538155</v>
      </c>
      <c r="C202" s="5">
        <f t="shared" si="6"/>
        <v>54.167369097131306</v>
      </c>
    </row>
    <row r="203" spans="1:3" ht="12.75" customHeight="1" thickBot="1" x14ac:dyDescent="0.3">
      <c r="A203" s="10">
        <v>39.801468700000001</v>
      </c>
      <c r="B203" s="5">
        <f t="shared" si="7"/>
        <v>2.0824138674618453</v>
      </c>
      <c r="C203" s="5">
        <f t="shared" si="6"/>
        <v>4.3364475153974</v>
      </c>
    </row>
    <row r="204" spans="1:3" ht="12.75" customHeight="1" thickBot="1" x14ac:dyDescent="0.3">
      <c r="A204" s="10">
        <v>34.638355939999997</v>
      </c>
      <c r="B204" s="5">
        <f t="shared" si="7"/>
        <v>3.0806988925381589</v>
      </c>
      <c r="C204" s="5">
        <f t="shared" si="6"/>
        <v>9.4907056664858391</v>
      </c>
    </row>
    <row r="205" spans="1:3" ht="12.75" customHeight="1" thickBot="1" x14ac:dyDescent="0.3">
      <c r="A205" s="10">
        <v>23.388668209999999</v>
      </c>
      <c r="B205" s="5">
        <f t="shared" si="7"/>
        <v>14.330386622538157</v>
      </c>
      <c r="C205" s="5">
        <f t="shared" si="6"/>
        <v>205.35998075142055</v>
      </c>
    </row>
    <row r="206" spans="1:3" ht="12.75" customHeight="1" thickBot="1" x14ac:dyDescent="0.3">
      <c r="A206" s="10">
        <v>49.701493329999998</v>
      </c>
      <c r="B206" s="5">
        <f t="shared" si="7"/>
        <v>11.982438497461843</v>
      </c>
      <c r="C206" s="5">
        <f t="shared" si="6"/>
        <v>143.57883234545562</v>
      </c>
    </row>
    <row r="207" spans="1:3" ht="12.75" customHeight="1" thickBot="1" x14ac:dyDescent="0.3">
      <c r="A207" s="10">
        <v>43.051870600000001</v>
      </c>
      <c r="B207" s="5">
        <f t="shared" si="7"/>
        <v>5.3328157674618453</v>
      </c>
      <c r="C207" s="5">
        <f t="shared" si="6"/>
        <v>28.438924009689671</v>
      </c>
    </row>
    <row r="208" spans="1:3" ht="12.75" customHeight="1" thickBot="1" x14ac:dyDescent="0.3">
      <c r="A208" s="10">
        <v>34.753970529999997</v>
      </c>
      <c r="B208" s="5">
        <f t="shared" si="7"/>
        <v>2.965084302538159</v>
      </c>
      <c r="C208" s="5">
        <f t="shared" si="6"/>
        <v>8.7917249211582007</v>
      </c>
    </row>
    <row r="209" spans="1:3" ht="12.75" customHeight="1" thickBot="1" x14ac:dyDescent="0.3">
      <c r="A209" s="10">
        <v>12.083710890000001</v>
      </c>
      <c r="B209" s="5">
        <f t="shared" si="7"/>
        <v>25.635343942538157</v>
      </c>
      <c r="C209" s="5">
        <f t="shared" si="6"/>
        <v>657.1708590522278</v>
      </c>
    </row>
    <row r="210" spans="1:3" ht="12.75" customHeight="1" thickBot="1" x14ac:dyDescent="0.3">
      <c r="A210" s="10">
        <v>28.384720550000001</v>
      </c>
      <c r="B210" s="5">
        <f t="shared" si="7"/>
        <v>9.3343342825381548</v>
      </c>
      <c r="C210" s="5">
        <f t="shared" si="6"/>
        <v>87.129796498167096</v>
      </c>
    </row>
    <row r="211" spans="1:3" ht="12.75" customHeight="1" thickBot="1" x14ac:dyDescent="0.3">
      <c r="A211" s="10">
        <v>49.243018859999999</v>
      </c>
      <c r="B211" s="5">
        <f t="shared" si="7"/>
        <v>11.523964027461844</v>
      </c>
      <c r="C211" s="5">
        <f t="shared" si="6"/>
        <v>132.8017469062346</v>
      </c>
    </row>
    <row r="212" spans="1:3" ht="12.75" customHeight="1" thickBot="1" x14ac:dyDescent="0.3">
      <c r="A212" s="10">
        <v>50.641974959999999</v>
      </c>
      <c r="B212" s="5">
        <f t="shared" si="7"/>
        <v>12.922920127461843</v>
      </c>
      <c r="C212" s="5">
        <f t="shared" si="6"/>
        <v>167.00186462075843</v>
      </c>
    </row>
    <row r="213" spans="1:3" ht="12.75" customHeight="1" thickBot="1" x14ac:dyDescent="0.3">
      <c r="A213" s="10">
        <v>32.89505269</v>
      </c>
      <c r="B213" s="5">
        <f t="shared" si="7"/>
        <v>4.8240021425381556</v>
      </c>
      <c r="C213" s="5">
        <f t="shared" si="6"/>
        <v>23.270996671212718</v>
      </c>
    </row>
    <row r="214" spans="1:3" ht="12.75" customHeight="1" thickBot="1" x14ac:dyDescent="0.3">
      <c r="A214" s="10">
        <v>44.44554626</v>
      </c>
      <c r="B214" s="5">
        <f t="shared" si="7"/>
        <v>6.7264914274618448</v>
      </c>
      <c r="C214" s="5">
        <f t="shared" si="6"/>
        <v>45.245686923717685</v>
      </c>
    </row>
    <row r="215" spans="1:3" ht="12.75" customHeight="1" thickBot="1" x14ac:dyDescent="0.3">
      <c r="A215" s="10">
        <v>45.751362550000003</v>
      </c>
      <c r="B215" s="5">
        <f t="shared" si="7"/>
        <v>8.0323077174618476</v>
      </c>
      <c r="C215" s="5">
        <f t="shared" si="6"/>
        <v>64.51796726799715</v>
      </c>
    </row>
    <row r="216" spans="1:3" ht="12.75" customHeight="1" thickBot="1" x14ac:dyDescent="0.3">
      <c r="A216" s="10">
        <v>12.86750612</v>
      </c>
      <c r="B216" s="5">
        <f t="shared" si="7"/>
        <v>24.851548712538154</v>
      </c>
      <c r="C216" s="5">
        <f t="shared" si="6"/>
        <v>617.59947341165673</v>
      </c>
    </row>
    <row r="217" spans="1:3" ht="12.75" customHeight="1" thickBot="1" x14ac:dyDescent="0.3">
      <c r="A217" s="10">
        <v>51.740775190000001</v>
      </c>
      <c r="B217" s="5">
        <f t="shared" si="7"/>
        <v>14.021720357461845</v>
      </c>
      <c r="C217" s="5">
        <f t="shared" si="6"/>
        <v>196.60864178285993</v>
      </c>
    </row>
    <row r="218" spans="1:3" ht="12.75" customHeight="1" thickBot="1" x14ac:dyDescent="0.3">
      <c r="A218" s="10">
        <v>47.794381899999998</v>
      </c>
      <c r="B218" s="5">
        <f t="shared" si="7"/>
        <v>10.075327067461842</v>
      </c>
      <c r="C218" s="5">
        <f t="shared" si="6"/>
        <v>101.51221551632923</v>
      </c>
    </row>
    <row r="219" spans="1:3" ht="12.75" customHeight="1" thickBot="1" x14ac:dyDescent="0.3">
      <c r="A219" s="10">
        <v>22.527128690000001</v>
      </c>
      <c r="B219" s="5">
        <f t="shared" si="7"/>
        <v>15.191926142538154</v>
      </c>
      <c r="C219" s="5">
        <f t="shared" si="6"/>
        <v>230.79461992033421</v>
      </c>
    </row>
    <row r="220" spans="1:3" ht="12.75" customHeight="1" thickBot="1" x14ac:dyDescent="0.3">
      <c r="A220" s="10">
        <v>29.675621899999999</v>
      </c>
      <c r="B220" s="5">
        <f t="shared" si="7"/>
        <v>8.0434329325381562</v>
      </c>
      <c r="C220" s="5">
        <f t="shared" si="6"/>
        <v>64.696813340239359</v>
      </c>
    </row>
    <row r="221" spans="1:3" ht="12.75" customHeight="1" thickBot="1" x14ac:dyDescent="0.3">
      <c r="A221" s="10">
        <v>13.106493929999999</v>
      </c>
      <c r="B221" s="5">
        <f t="shared" si="7"/>
        <v>24.612560902538156</v>
      </c>
      <c r="C221" s="5">
        <f t="shared" si="6"/>
        <v>605.77815418114983</v>
      </c>
    </row>
    <row r="222" spans="1:3" ht="12.75" customHeight="1" thickBot="1" x14ac:dyDescent="0.3">
      <c r="A222" s="10">
        <v>12.505095470000001</v>
      </c>
      <c r="B222" s="5">
        <f t="shared" si="7"/>
        <v>25.213959362538155</v>
      </c>
      <c r="C222" s="5">
        <f t="shared" si="6"/>
        <v>635.74374673572549</v>
      </c>
    </row>
    <row r="223" spans="1:3" ht="12.75" customHeight="1" thickBot="1" x14ac:dyDescent="0.3">
      <c r="A223" s="10">
        <v>43.182995679999998</v>
      </c>
      <c r="B223" s="5">
        <f t="shared" si="7"/>
        <v>5.4639408474618421</v>
      </c>
      <c r="C223" s="5">
        <f t="shared" si="6"/>
        <v>29.854649584562033</v>
      </c>
    </row>
    <row r="224" spans="1:3" ht="12.75" customHeight="1" thickBot="1" x14ac:dyDescent="0.3">
      <c r="A224" s="10">
        <v>22.92318229</v>
      </c>
      <c r="B224" s="5">
        <f t="shared" si="7"/>
        <v>14.795872542538156</v>
      </c>
      <c r="C224" s="5">
        <f t="shared" si="6"/>
        <v>218.91784429503451</v>
      </c>
    </row>
    <row r="225" spans="1:3" ht="12.75" customHeight="1" thickBot="1" x14ac:dyDescent="0.3">
      <c r="A225" s="10">
        <v>13.60415675</v>
      </c>
      <c r="B225" s="5">
        <f t="shared" si="7"/>
        <v>24.114898082538154</v>
      </c>
      <c r="C225" s="5">
        <f t="shared" si="6"/>
        <v>581.52830953120235</v>
      </c>
    </row>
    <row r="226" spans="1:3" ht="12.75" customHeight="1" thickBot="1" x14ac:dyDescent="0.3">
      <c r="A226" s="10">
        <v>49.2289119</v>
      </c>
      <c r="B226" s="5">
        <f t="shared" si="7"/>
        <v>11.509857067461844</v>
      </c>
      <c r="C226" s="5">
        <f t="shared" si="6"/>
        <v>132.47680971340137</v>
      </c>
    </row>
    <row r="227" spans="1:3" ht="12.75" customHeight="1" thickBot="1" x14ac:dyDescent="0.3">
      <c r="A227" s="10">
        <v>13.506301280000001</v>
      </c>
      <c r="B227" s="5">
        <f t="shared" si="7"/>
        <v>24.212753552538153</v>
      </c>
      <c r="C227" s="5">
        <f t="shared" si="6"/>
        <v>586.25743459594901</v>
      </c>
    </row>
    <row r="228" spans="1:3" ht="12.75" customHeight="1" thickBot="1" x14ac:dyDescent="0.3">
      <c r="A228" s="10">
        <v>15.21163604</v>
      </c>
      <c r="B228" s="5">
        <f t="shared" si="7"/>
        <v>22.507418792538154</v>
      </c>
      <c r="C228" s="5">
        <f t="shared" si="6"/>
        <v>506.58390070269962</v>
      </c>
    </row>
    <row r="229" spans="1:3" ht="12.75" customHeight="1" thickBot="1" x14ac:dyDescent="0.3">
      <c r="A229" s="10">
        <v>13.34426333</v>
      </c>
      <c r="B229" s="5">
        <f t="shared" si="7"/>
        <v>24.374791502538155</v>
      </c>
      <c r="C229" s="5">
        <f t="shared" si="6"/>
        <v>594.13046079220624</v>
      </c>
    </row>
    <row r="230" spans="1:3" ht="12.75" customHeight="1" thickBot="1" x14ac:dyDescent="0.3">
      <c r="A230" s="10">
        <v>50.122608579999998</v>
      </c>
      <c r="B230" s="5">
        <f t="shared" si="7"/>
        <v>12.403553747461842</v>
      </c>
      <c r="C230" s="5">
        <f t="shared" si="6"/>
        <v>153.84814556617471</v>
      </c>
    </row>
    <row r="231" spans="1:3" ht="12.75" customHeight="1" thickBot="1" x14ac:dyDescent="0.3">
      <c r="A231" s="10">
        <v>25.072561329999999</v>
      </c>
      <c r="B231" s="5">
        <f t="shared" si="7"/>
        <v>12.646493502538156</v>
      </c>
      <c r="C231" s="5">
        <f t="shared" si="6"/>
        <v>159.93379790973981</v>
      </c>
    </row>
    <row r="232" spans="1:3" ht="12.75" customHeight="1" thickBot="1" x14ac:dyDescent="0.3">
      <c r="A232" s="10">
        <v>45.195913879999999</v>
      </c>
      <c r="B232" s="5">
        <f t="shared" si="7"/>
        <v>7.4768590474618435</v>
      </c>
      <c r="C232" s="5">
        <f t="shared" si="6"/>
        <v>55.903421215612028</v>
      </c>
    </row>
    <row r="233" spans="1:3" ht="12.75" customHeight="1" thickBot="1" x14ac:dyDescent="0.3">
      <c r="A233" s="10">
        <v>13.30978678</v>
      </c>
      <c r="B233" s="5">
        <f t="shared" si="7"/>
        <v>24.409268052538156</v>
      </c>
      <c r="C233" s="5">
        <f t="shared" si="6"/>
        <v>595.81236686065984</v>
      </c>
    </row>
    <row r="234" spans="1:3" ht="12.75" customHeight="1" thickBot="1" x14ac:dyDescent="0.3">
      <c r="A234" s="10">
        <v>31.898288650000001</v>
      </c>
      <c r="B234" s="5">
        <f t="shared" si="7"/>
        <v>5.8207661825381543</v>
      </c>
      <c r="C234" s="5">
        <f t="shared" si="6"/>
        <v>33.881318951779797</v>
      </c>
    </row>
    <row r="235" spans="1:3" ht="12.75" customHeight="1" thickBot="1" x14ac:dyDescent="0.3">
      <c r="A235" s="10">
        <v>39.929772679999999</v>
      </c>
      <c r="B235" s="5">
        <f t="shared" si="7"/>
        <v>2.2107178474618436</v>
      </c>
      <c r="C235" s="5">
        <f t="shared" si="6"/>
        <v>4.8872734010863272</v>
      </c>
    </row>
    <row r="236" spans="1:3" ht="12.75" customHeight="1" thickBot="1" x14ac:dyDescent="0.3">
      <c r="A236" s="10">
        <v>50.314884730000003</v>
      </c>
      <c r="B236" s="5">
        <f t="shared" si="7"/>
        <v>12.595829897461847</v>
      </c>
      <c r="C236" s="5">
        <f t="shared" si="6"/>
        <v>158.65493080579373</v>
      </c>
    </row>
    <row r="237" spans="1:3" ht="12.75" customHeight="1" thickBot="1" x14ac:dyDescent="0.3">
      <c r="A237" s="10">
        <v>53.177806650000001</v>
      </c>
      <c r="B237" s="5">
        <f t="shared" si="7"/>
        <v>15.458751817461845</v>
      </c>
      <c r="C237" s="5">
        <f t="shared" si="6"/>
        <v>238.9730077538799</v>
      </c>
    </row>
    <row r="238" spans="1:3" ht="12.75" customHeight="1" thickBot="1" x14ac:dyDescent="0.3">
      <c r="A238" s="10">
        <v>52.189430880000003</v>
      </c>
      <c r="B238" s="5">
        <f t="shared" si="7"/>
        <v>14.470376047461848</v>
      </c>
      <c r="C238" s="5">
        <f t="shared" si="6"/>
        <v>209.39178295495756</v>
      </c>
    </row>
    <row r="239" spans="1:3" ht="12.75" customHeight="1" thickBot="1" x14ac:dyDescent="0.3">
      <c r="A239" s="10">
        <v>35.985371110000003</v>
      </c>
      <c r="B239" s="5">
        <f t="shared" si="7"/>
        <v>1.7336837225381529</v>
      </c>
      <c r="C239" s="5">
        <f t="shared" si="6"/>
        <v>3.0056592497937471</v>
      </c>
    </row>
    <row r="240" spans="1:3" ht="12.75" customHeight="1" thickBot="1" x14ac:dyDescent="0.3">
      <c r="A240" s="10">
        <v>59.976442669999997</v>
      </c>
      <c r="B240" s="5">
        <f t="shared" si="7"/>
        <v>22.257387837461842</v>
      </c>
      <c r="C240" s="5">
        <f t="shared" si="6"/>
        <v>495.39131334719434</v>
      </c>
    </row>
    <row r="241" spans="1:3" ht="12.75" customHeight="1" thickBot="1" x14ac:dyDescent="0.3">
      <c r="A241" s="10">
        <v>23.80680018</v>
      </c>
      <c r="B241" s="5">
        <f t="shared" si="7"/>
        <v>13.912254652538156</v>
      </c>
      <c r="C241" s="5">
        <f t="shared" si="6"/>
        <v>193.55082951706956</v>
      </c>
    </row>
    <row r="242" spans="1:3" ht="12.75" customHeight="1" thickBot="1" x14ac:dyDescent="0.3">
      <c r="A242" s="10">
        <v>36.913415569999998</v>
      </c>
      <c r="B242" s="5">
        <f t="shared" si="7"/>
        <v>0.80563926253815765</v>
      </c>
      <c r="C242" s="5">
        <f t="shared" si="6"/>
        <v>0.64905462134302649</v>
      </c>
    </row>
    <row r="243" spans="1:3" ht="12.75" customHeight="1" thickBot="1" x14ac:dyDescent="0.3">
      <c r="A243" s="10">
        <v>40.278390989999998</v>
      </c>
      <c r="B243" s="5">
        <f t="shared" si="7"/>
        <v>2.5593361574618427</v>
      </c>
      <c r="C243" s="5">
        <f t="shared" si="6"/>
        <v>6.5502015668915501</v>
      </c>
    </row>
    <row r="244" spans="1:3" ht="12.75" customHeight="1" thickBot="1" x14ac:dyDescent="0.3">
      <c r="A244" s="10">
        <v>27.338807190000001</v>
      </c>
      <c r="B244" s="5">
        <f t="shared" si="7"/>
        <v>10.380247642538155</v>
      </c>
      <c r="C244" s="5">
        <f t="shared" si="6"/>
        <v>107.74954112041893</v>
      </c>
    </row>
    <row r="245" spans="1:3" ht="12.75" customHeight="1" thickBot="1" x14ac:dyDescent="0.3">
      <c r="A245" s="10">
        <v>29.645133229999999</v>
      </c>
      <c r="B245" s="5">
        <f t="shared" si="7"/>
        <v>8.0739216025381566</v>
      </c>
      <c r="C245" s="5">
        <f t="shared" si="6"/>
        <v>65.188210043932315</v>
      </c>
    </row>
    <row r="246" spans="1:3" ht="12.75" customHeight="1" thickBot="1" x14ac:dyDescent="0.3">
      <c r="A246" s="10">
        <v>38.418010039999999</v>
      </c>
      <c r="B246" s="5">
        <f t="shared" si="7"/>
        <v>0.69895520746184303</v>
      </c>
      <c r="C246" s="5">
        <f t="shared" si="6"/>
        <v>0.48853838203802802</v>
      </c>
    </row>
    <row r="247" spans="1:3" ht="12.75" customHeight="1" thickBot="1" x14ac:dyDescent="0.3">
      <c r="A247" s="10">
        <v>44.696145080000001</v>
      </c>
      <c r="B247" s="5">
        <f t="shared" si="7"/>
        <v>6.9770902474618453</v>
      </c>
      <c r="C247" s="5">
        <f t="shared" si="6"/>
        <v>48.679788321227193</v>
      </c>
    </row>
    <row r="248" spans="1:3" ht="12.75" customHeight="1" thickBot="1" x14ac:dyDescent="0.3">
      <c r="A248" s="10">
        <v>14.586478700000001</v>
      </c>
      <c r="B248" s="5">
        <f t="shared" si="7"/>
        <v>23.132576132538155</v>
      </c>
      <c r="C248" s="5">
        <f t="shared" si="6"/>
        <v>535.11607852767395</v>
      </c>
    </row>
    <row r="249" spans="1:3" ht="12.75" customHeight="1" thickBot="1" x14ac:dyDescent="0.3">
      <c r="A249" s="10">
        <v>69.672085859999996</v>
      </c>
      <c r="B249" s="5">
        <f t="shared" si="7"/>
        <v>31.95303102746184</v>
      </c>
      <c r="C249" s="5">
        <f t="shared" si="6"/>
        <v>1020.9961918419391</v>
      </c>
    </row>
    <row r="250" spans="1:3" ht="12.75" customHeight="1" thickBot="1" x14ac:dyDescent="0.3">
      <c r="A250" s="10">
        <v>26.29085692</v>
      </c>
      <c r="B250" s="5">
        <f t="shared" si="7"/>
        <v>11.428197912538156</v>
      </c>
      <c r="C250" s="5">
        <f t="shared" si="6"/>
        <v>130.60370752814146</v>
      </c>
    </row>
    <row r="251" spans="1:3" ht="12.75" customHeight="1" thickBot="1" x14ac:dyDescent="0.3">
      <c r="A251" s="10">
        <v>16.30922048</v>
      </c>
      <c r="B251" s="5">
        <f t="shared" si="7"/>
        <v>21.409834352538155</v>
      </c>
      <c r="C251" s="5">
        <f t="shared" si="6"/>
        <v>458.38100700312287</v>
      </c>
    </row>
    <row r="252" spans="1:3" ht="12.75" customHeight="1" thickBot="1" x14ac:dyDescent="0.3">
      <c r="A252" s="10">
        <v>10</v>
      </c>
      <c r="B252" s="5">
        <f t="shared" si="7"/>
        <v>27.719054832538156</v>
      </c>
      <c r="C252" s="5">
        <f t="shared" si="6"/>
        <v>768.34600080925691</v>
      </c>
    </row>
    <row r="253" spans="1:3" ht="12.75" customHeight="1" thickBot="1" x14ac:dyDescent="0.3">
      <c r="A253" s="10">
        <v>61.479885009999997</v>
      </c>
      <c r="B253" s="5">
        <f t="shared" si="7"/>
        <v>23.760830177461841</v>
      </c>
      <c r="C253" s="5">
        <f t="shared" si="6"/>
        <v>564.5770507221813</v>
      </c>
    </row>
    <row r="254" spans="1:3" ht="12.75" customHeight="1" thickBot="1" x14ac:dyDescent="0.3">
      <c r="A254" s="10">
        <v>19.16467879</v>
      </c>
      <c r="B254" s="5">
        <f t="shared" si="7"/>
        <v>18.554376042538156</v>
      </c>
      <c r="C254" s="5">
        <f t="shared" si="6"/>
        <v>344.26487032791385</v>
      </c>
    </row>
    <row r="255" spans="1:3" ht="12.75" customHeight="1" thickBot="1" x14ac:dyDescent="0.3">
      <c r="A255" s="10">
        <v>29.045304810000001</v>
      </c>
      <c r="B255" s="5">
        <f t="shared" si="7"/>
        <v>8.6737500225381545</v>
      </c>
      <c r="C255" s="5">
        <f t="shared" si="6"/>
        <v>75.23393945348063</v>
      </c>
    </row>
    <row r="256" spans="1:3" ht="12.75" customHeight="1" thickBot="1" x14ac:dyDescent="0.3">
      <c r="A256" s="10">
        <v>46.231726139999999</v>
      </c>
      <c r="B256" s="5">
        <f t="shared" si="7"/>
        <v>8.5126713074618436</v>
      </c>
      <c r="C256" s="5">
        <f t="shared" si="6"/>
        <v>72.465572788884131</v>
      </c>
    </row>
    <row r="257" spans="1:3" ht="12.75" customHeight="1" thickBot="1" x14ac:dyDescent="0.3">
      <c r="A257" s="10">
        <v>55.149070049999999</v>
      </c>
      <c r="B257" s="5">
        <f t="shared" si="7"/>
        <v>17.430015217461843</v>
      </c>
      <c r="C257" s="5">
        <f t="shared" si="6"/>
        <v>303.80543048095143</v>
      </c>
    </row>
    <row r="258" spans="1:3" ht="12.75" customHeight="1" thickBot="1" x14ac:dyDescent="0.3">
      <c r="A258" s="10">
        <v>51.733391699999999</v>
      </c>
      <c r="B258" s="5">
        <f t="shared" si="7"/>
        <v>14.014336867461843</v>
      </c>
      <c r="C258" s="5">
        <f t="shared" si="6"/>
        <v>196.40163783470021</v>
      </c>
    </row>
    <row r="259" spans="1:3" ht="12.75" customHeight="1" thickBot="1" x14ac:dyDescent="0.3">
      <c r="A259" s="10">
        <v>53.580185980000003</v>
      </c>
      <c r="B259" s="5">
        <f t="shared" si="7"/>
        <v>15.861131147461847</v>
      </c>
      <c r="C259" s="5">
        <f t="shared" ref="C259:C322" si="8">POWER(B259,2)</f>
        <v>251.57548127698439</v>
      </c>
    </row>
    <row r="260" spans="1:3" ht="12.75" customHeight="1" thickBot="1" x14ac:dyDescent="0.3">
      <c r="A260" s="10">
        <v>11.350073</v>
      </c>
      <c r="B260" s="5">
        <f t="shared" si="7"/>
        <v>26.368981832538154</v>
      </c>
      <c r="C260" s="5">
        <f t="shared" si="8"/>
        <v>695.32320288472727</v>
      </c>
    </row>
    <row r="261" spans="1:3" ht="12.75" customHeight="1" thickBot="1" x14ac:dyDescent="0.3">
      <c r="A261" s="10">
        <v>43.324005120000002</v>
      </c>
      <c r="B261" s="5">
        <f t="shared" si="7"/>
        <v>5.6049502874618469</v>
      </c>
      <c r="C261" s="5">
        <f t="shared" si="8"/>
        <v>31.415467724918638</v>
      </c>
    </row>
    <row r="262" spans="1:3" ht="12.75" customHeight="1" thickBot="1" x14ac:dyDescent="0.3">
      <c r="A262" s="10">
        <v>33.548623040000003</v>
      </c>
      <c r="B262" s="5">
        <f t="shared" si="7"/>
        <v>4.1704317925381531</v>
      </c>
      <c r="C262" s="5">
        <f t="shared" si="8"/>
        <v>17.392501336212995</v>
      </c>
    </row>
    <row r="263" spans="1:3" ht="12.75" customHeight="1" thickBot="1" x14ac:dyDescent="0.3">
      <c r="A263" s="10">
        <v>14.168822069999999</v>
      </c>
      <c r="B263" s="5">
        <f t="shared" si="7"/>
        <v>23.550232762538158</v>
      </c>
      <c r="C263" s="5">
        <f t="shared" si="8"/>
        <v>554.61346316972561</v>
      </c>
    </row>
    <row r="264" spans="1:3" ht="12.75" customHeight="1" thickBot="1" x14ac:dyDescent="0.3">
      <c r="A264" s="10">
        <v>20.246250620000001</v>
      </c>
      <c r="B264" s="5">
        <f t="shared" si="7"/>
        <v>17.472804212538154</v>
      </c>
      <c r="C264" s="5">
        <f t="shared" si="8"/>
        <v>305.29888704969107</v>
      </c>
    </row>
    <row r="265" spans="1:3" ht="12.75" customHeight="1" thickBot="1" x14ac:dyDescent="0.3">
      <c r="A265" s="10">
        <v>53.234112490000001</v>
      </c>
      <c r="B265" s="5">
        <f t="shared" ref="B265:B328" si="9">ABS(A265-$E$2)</f>
        <v>15.515057657461846</v>
      </c>
      <c r="C265" s="5">
        <f t="shared" si="8"/>
        <v>240.71701411436544</v>
      </c>
    </row>
    <row r="266" spans="1:3" ht="12.75" customHeight="1" thickBot="1" x14ac:dyDescent="0.3">
      <c r="A266" s="10">
        <v>16.409956470000001</v>
      </c>
      <c r="B266" s="5">
        <f t="shared" si="9"/>
        <v>21.309098362538155</v>
      </c>
      <c r="C266" s="5">
        <f t="shared" si="8"/>
        <v>454.07767302432626</v>
      </c>
    </row>
    <row r="267" spans="1:3" ht="12.75" customHeight="1" thickBot="1" x14ac:dyDescent="0.3">
      <c r="A267" s="10">
        <v>12.75918661</v>
      </c>
      <c r="B267" s="5">
        <f t="shared" si="9"/>
        <v>24.959868222538155</v>
      </c>
      <c r="C267" s="5">
        <f t="shared" si="8"/>
        <v>622.99502168646995</v>
      </c>
    </row>
    <row r="268" spans="1:3" ht="12.75" customHeight="1" thickBot="1" x14ac:dyDescent="0.3">
      <c r="A268" s="10">
        <v>40.348758830000001</v>
      </c>
      <c r="B268" s="5">
        <f t="shared" si="9"/>
        <v>2.6297039974618457</v>
      </c>
      <c r="C268" s="5">
        <f t="shared" si="8"/>
        <v>6.9153431142668111</v>
      </c>
    </row>
    <row r="269" spans="1:3" ht="12.75" customHeight="1" thickBot="1" x14ac:dyDescent="0.3">
      <c r="A269" s="10">
        <v>46.820114220000001</v>
      </c>
      <c r="B269" s="5">
        <f t="shared" si="9"/>
        <v>9.1010593874618451</v>
      </c>
      <c r="C269" s="5">
        <f t="shared" si="8"/>
        <v>82.829281974107374</v>
      </c>
    </row>
    <row r="270" spans="1:3" ht="12.75" customHeight="1" thickBot="1" x14ac:dyDescent="0.3">
      <c r="A270" s="10">
        <v>42.6561272</v>
      </c>
      <c r="B270" s="5">
        <f t="shared" si="9"/>
        <v>4.9370723674618446</v>
      </c>
      <c r="C270" s="5">
        <f t="shared" si="8"/>
        <v>24.374683561555305</v>
      </c>
    </row>
    <row r="271" spans="1:3" ht="12.75" customHeight="1" thickBot="1" x14ac:dyDescent="0.3">
      <c r="A271" s="10">
        <v>13.010279110000001</v>
      </c>
      <c r="B271" s="5">
        <f t="shared" si="9"/>
        <v>24.708775722538157</v>
      </c>
      <c r="C271" s="5">
        <f t="shared" si="8"/>
        <v>610.52359770669102</v>
      </c>
    </row>
    <row r="272" spans="1:3" ht="12.75" customHeight="1" thickBot="1" x14ac:dyDescent="0.3">
      <c r="A272" s="10">
        <v>20.565924039999999</v>
      </c>
      <c r="B272" s="5">
        <f t="shared" si="9"/>
        <v>17.153130792538157</v>
      </c>
      <c r="C272" s="5">
        <f t="shared" si="8"/>
        <v>294.22989598592068</v>
      </c>
    </row>
    <row r="273" spans="1:3" ht="12.75" customHeight="1" thickBot="1" x14ac:dyDescent="0.3">
      <c r="A273" s="10">
        <v>22.974971650000001</v>
      </c>
      <c r="B273" s="5">
        <f t="shared" si="9"/>
        <v>14.744083182538155</v>
      </c>
      <c r="C273" s="5">
        <f t="shared" si="8"/>
        <v>217.38798889360444</v>
      </c>
    </row>
    <row r="274" spans="1:3" ht="12.75" customHeight="1" thickBot="1" x14ac:dyDescent="0.3">
      <c r="A274" s="10">
        <v>65.991198179999998</v>
      </c>
      <c r="B274" s="5">
        <f t="shared" si="9"/>
        <v>28.272143347461842</v>
      </c>
      <c r="C274" s="5">
        <f t="shared" si="8"/>
        <v>799.31408945943087</v>
      </c>
    </row>
    <row r="275" spans="1:3" ht="12.75" customHeight="1" thickBot="1" x14ac:dyDescent="0.3">
      <c r="A275" s="10">
        <v>13.31233025</v>
      </c>
      <c r="B275" s="5">
        <f t="shared" si="9"/>
        <v>24.406724582538153</v>
      </c>
      <c r="C275" s="5">
        <f t="shared" si="8"/>
        <v>595.68820484787216</v>
      </c>
    </row>
    <row r="276" spans="1:3" ht="12.75" customHeight="1" thickBot="1" x14ac:dyDescent="0.3">
      <c r="A276" s="10">
        <v>48.416623280000003</v>
      </c>
      <c r="B276" s="5">
        <f t="shared" si="9"/>
        <v>10.697568447461848</v>
      </c>
      <c r="C276" s="5">
        <f t="shared" si="8"/>
        <v>114.43797068813129</v>
      </c>
    </row>
    <row r="277" spans="1:3" ht="12.75" customHeight="1" thickBot="1" x14ac:dyDescent="0.3">
      <c r="A277" s="10">
        <v>42.499687119999997</v>
      </c>
      <c r="B277" s="5">
        <f t="shared" si="9"/>
        <v>4.7806322874618417</v>
      </c>
      <c r="C277" s="5">
        <f t="shared" si="8"/>
        <v>22.85444506792264</v>
      </c>
    </row>
    <row r="278" spans="1:3" ht="12.75" customHeight="1" thickBot="1" x14ac:dyDescent="0.3">
      <c r="A278" s="10">
        <v>48.169115220000002</v>
      </c>
      <c r="B278" s="5">
        <f t="shared" si="9"/>
        <v>10.450060387461846</v>
      </c>
      <c r="C278" s="5">
        <f t="shared" si="8"/>
        <v>109.20376210159924</v>
      </c>
    </row>
    <row r="279" spans="1:3" ht="12.75" customHeight="1" thickBot="1" x14ac:dyDescent="0.3">
      <c r="A279" s="10">
        <v>21.661422000000002</v>
      </c>
      <c r="B279" s="5">
        <f t="shared" si="9"/>
        <v>16.057632832538154</v>
      </c>
      <c r="C279" s="5">
        <f t="shared" si="8"/>
        <v>257.84757218460732</v>
      </c>
    </row>
    <row r="280" spans="1:3" ht="12.75" customHeight="1" thickBot="1" x14ac:dyDescent="0.3">
      <c r="A280" s="10">
        <v>41.497652129999999</v>
      </c>
      <c r="B280" s="5">
        <f t="shared" si="9"/>
        <v>3.7785972974618431</v>
      </c>
      <c r="C280" s="5">
        <f t="shared" si="8"/>
        <v>14.277797536385945</v>
      </c>
    </row>
    <row r="281" spans="1:3" ht="12.75" customHeight="1" thickBot="1" x14ac:dyDescent="0.3">
      <c r="A281" s="10">
        <v>67.333902300000005</v>
      </c>
      <c r="B281" s="5">
        <f t="shared" si="9"/>
        <v>29.61484746746185</v>
      </c>
      <c r="C281" s="5">
        <f t="shared" si="8"/>
        <v>877.03919052103151</v>
      </c>
    </row>
    <row r="282" spans="1:3" ht="12.75" customHeight="1" thickBot="1" x14ac:dyDescent="0.3">
      <c r="A282" s="10">
        <v>40.151700660000003</v>
      </c>
      <c r="B282" s="5">
        <f t="shared" si="9"/>
        <v>2.4326458274618474</v>
      </c>
      <c r="C282" s="5">
        <f t="shared" si="8"/>
        <v>5.9177657218675366</v>
      </c>
    </row>
    <row r="283" spans="1:3" ht="12.75" customHeight="1" thickBot="1" x14ac:dyDescent="0.3">
      <c r="A283" s="10">
        <v>44.208564250000002</v>
      </c>
      <c r="B283" s="5">
        <f t="shared" si="9"/>
        <v>6.4895094174618464</v>
      </c>
      <c r="C283" s="5">
        <f t="shared" si="8"/>
        <v>42.113732479325996</v>
      </c>
    </row>
    <row r="284" spans="1:3" ht="12.75" customHeight="1" thickBot="1" x14ac:dyDescent="0.3">
      <c r="A284" s="10">
        <v>14.709593180000001</v>
      </c>
      <c r="B284" s="5">
        <f t="shared" si="9"/>
        <v>23.009461652538157</v>
      </c>
      <c r="C284" s="5">
        <f t="shared" si="8"/>
        <v>529.43532553962393</v>
      </c>
    </row>
    <row r="285" spans="1:3" ht="12.75" customHeight="1" thickBot="1" x14ac:dyDescent="0.3">
      <c r="A285" s="10">
        <v>67.835174379999998</v>
      </c>
      <c r="B285" s="5">
        <f t="shared" si="9"/>
        <v>30.116119547461842</v>
      </c>
      <c r="C285" s="5">
        <f t="shared" si="8"/>
        <v>906.98065659701331</v>
      </c>
    </row>
    <row r="286" spans="1:3" ht="12.75" customHeight="1" thickBot="1" x14ac:dyDescent="0.3">
      <c r="A286" s="10">
        <v>28.529910189999999</v>
      </c>
      <c r="B286" s="5">
        <f t="shared" si="9"/>
        <v>9.1891446425381567</v>
      </c>
      <c r="C286" s="5">
        <f t="shared" si="8"/>
        <v>84.440379261487706</v>
      </c>
    </row>
    <row r="287" spans="1:3" ht="12.75" customHeight="1" thickBot="1" x14ac:dyDescent="0.3">
      <c r="A287" s="10">
        <v>25.743452120000001</v>
      </c>
      <c r="B287" s="5">
        <f t="shared" si="9"/>
        <v>11.975602712538155</v>
      </c>
      <c r="C287" s="5">
        <f t="shared" si="8"/>
        <v>143.41506032855122</v>
      </c>
    </row>
    <row r="288" spans="1:3" ht="12.75" customHeight="1" thickBot="1" x14ac:dyDescent="0.3">
      <c r="A288" s="10">
        <v>61.84997611</v>
      </c>
      <c r="B288" s="5">
        <f t="shared" si="9"/>
        <v>24.130921277461844</v>
      </c>
      <c r="C288" s="5">
        <f t="shared" si="8"/>
        <v>582.30136169906075</v>
      </c>
    </row>
    <row r="289" spans="1:3" ht="12.75" customHeight="1" thickBot="1" x14ac:dyDescent="0.3">
      <c r="A289" s="10">
        <v>19.422114329999999</v>
      </c>
      <c r="B289" s="5">
        <f t="shared" si="9"/>
        <v>18.296940502538156</v>
      </c>
      <c r="C289" s="5">
        <f t="shared" si="8"/>
        <v>334.77803175342126</v>
      </c>
    </row>
    <row r="290" spans="1:3" ht="12.75" customHeight="1" thickBot="1" x14ac:dyDescent="0.3">
      <c r="A290" s="10">
        <v>58.865275959999998</v>
      </c>
      <c r="B290" s="5">
        <f t="shared" si="9"/>
        <v>21.146221127461843</v>
      </c>
      <c r="C290" s="5">
        <f t="shared" si="8"/>
        <v>447.1626679715136</v>
      </c>
    </row>
    <row r="291" spans="1:3" ht="12.75" customHeight="1" thickBot="1" x14ac:dyDescent="0.3">
      <c r="A291" s="10">
        <v>72.341486009999997</v>
      </c>
      <c r="B291" s="5">
        <f t="shared" si="9"/>
        <v>34.622431177461841</v>
      </c>
      <c r="C291" s="5">
        <f t="shared" si="8"/>
        <v>1198.7127406380816</v>
      </c>
    </row>
    <row r="292" spans="1:3" ht="12.75" customHeight="1" thickBot="1" x14ac:dyDescent="0.3">
      <c r="A292" s="10">
        <v>46.302720899999997</v>
      </c>
      <c r="B292" s="5">
        <f t="shared" si="9"/>
        <v>8.5836660674618415</v>
      </c>
      <c r="C292" s="5">
        <f t="shared" si="8"/>
        <v>73.679323157695833</v>
      </c>
    </row>
    <row r="293" spans="1:3" ht="12.75" customHeight="1" thickBot="1" x14ac:dyDescent="0.3">
      <c r="A293" s="10">
        <v>40.946543900000002</v>
      </c>
      <c r="B293" s="5">
        <f t="shared" si="9"/>
        <v>3.2274890674618462</v>
      </c>
      <c r="C293" s="5">
        <f t="shared" si="8"/>
        <v>10.416685680585738</v>
      </c>
    </row>
    <row r="294" spans="1:3" ht="12.75" customHeight="1" thickBot="1" x14ac:dyDescent="0.3">
      <c r="A294" s="10">
        <v>34.468652820000003</v>
      </c>
      <c r="B294" s="5">
        <f t="shared" si="9"/>
        <v>3.250402012538153</v>
      </c>
      <c r="C294" s="5">
        <f t="shared" si="8"/>
        <v>10.565113243112075</v>
      </c>
    </row>
    <row r="295" spans="1:3" ht="12.75" customHeight="1" thickBot="1" x14ac:dyDescent="0.3">
      <c r="A295" s="10">
        <v>56.167537760000002</v>
      </c>
      <c r="B295" s="5">
        <f t="shared" si="9"/>
        <v>18.448482927461846</v>
      </c>
      <c r="C295" s="5">
        <f t="shared" si="8"/>
        <v>340.34652232485121</v>
      </c>
    </row>
    <row r="296" spans="1:3" ht="12.75" customHeight="1" thickBot="1" x14ac:dyDescent="0.3">
      <c r="A296" s="10">
        <v>59.625027209999999</v>
      </c>
      <c r="B296" s="5">
        <f t="shared" si="9"/>
        <v>21.905972377461843</v>
      </c>
      <c r="C296" s="5">
        <f t="shared" si="8"/>
        <v>479.87162580212129</v>
      </c>
    </row>
    <row r="297" spans="1:3" ht="12.75" customHeight="1" thickBot="1" x14ac:dyDescent="0.3">
      <c r="A297" s="10">
        <v>55.354597060000003</v>
      </c>
      <c r="B297" s="5">
        <f t="shared" si="9"/>
        <v>17.635542227461848</v>
      </c>
      <c r="C297" s="5">
        <f t="shared" si="8"/>
        <v>311.01234965659</v>
      </c>
    </row>
    <row r="298" spans="1:3" ht="12.75" customHeight="1" thickBot="1" x14ac:dyDescent="0.3">
      <c r="A298" s="10">
        <v>53.657007210000003</v>
      </c>
      <c r="B298" s="5">
        <f t="shared" si="9"/>
        <v>15.937952377461848</v>
      </c>
      <c r="C298" s="5">
        <f t="shared" si="8"/>
        <v>254.01832598624176</v>
      </c>
    </row>
    <row r="299" spans="1:3" ht="12.75" customHeight="1" thickBot="1" x14ac:dyDescent="0.3">
      <c r="A299" s="10">
        <v>35.58181115</v>
      </c>
      <c r="B299" s="5">
        <f t="shared" si="9"/>
        <v>2.1372436825381556</v>
      </c>
      <c r="C299" s="5">
        <f t="shared" si="8"/>
        <v>4.5678105585492563</v>
      </c>
    </row>
    <row r="300" spans="1:3" ht="12.75" customHeight="1" thickBot="1" x14ac:dyDescent="0.3">
      <c r="A300" s="10">
        <v>57.982284630000002</v>
      </c>
      <c r="B300" s="5">
        <f t="shared" si="9"/>
        <v>20.263229797461847</v>
      </c>
      <c r="C300" s="5">
        <f t="shared" si="8"/>
        <v>410.59848182474565</v>
      </c>
    </row>
    <row r="301" spans="1:3" ht="12.75" customHeight="1" thickBot="1" x14ac:dyDescent="0.3">
      <c r="A301" s="10">
        <v>78.167605760000001</v>
      </c>
      <c r="B301" s="5">
        <f t="shared" si="9"/>
        <v>40.448550927461845</v>
      </c>
      <c r="C301" s="5">
        <f t="shared" si="8"/>
        <v>1636.0852721314745</v>
      </c>
    </row>
    <row r="302" spans="1:3" ht="12.75" customHeight="1" thickBot="1" x14ac:dyDescent="0.3">
      <c r="A302" s="10">
        <v>55.424121540000002</v>
      </c>
      <c r="B302" s="5">
        <f t="shared" si="9"/>
        <v>17.705066707461846</v>
      </c>
      <c r="C302" s="5">
        <f t="shared" si="8"/>
        <v>313.46938711567384</v>
      </c>
    </row>
    <row r="303" spans="1:3" ht="12.75" customHeight="1" thickBot="1" x14ac:dyDescent="0.3">
      <c r="A303" s="10">
        <v>28.118966499999999</v>
      </c>
      <c r="B303" s="5">
        <f t="shared" si="9"/>
        <v>9.6000883325381565</v>
      </c>
      <c r="C303" s="5">
        <f t="shared" si="8"/>
        <v>92.161695992535243</v>
      </c>
    </row>
    <row r="304" spans="1:3" ht="12.75" customHeight="1" thickBot="1" x14ac:dyDescent="0.3">
      <c r="A304" s="10">
        <v>59.956514409999997</v>
      </c>
      <c r="B304" s="5">
        <f t="shared" si="9"/>
        <v>22.237459577461841</v>
      </c>
      <c r="C304" s="5">
        <f t="shared" si="8"/>
        <v>494.50460845924937</v>
      </c>
    </row>
    <row r="305" spans="1:3" ht="12.75" customHeight="1" thickBot="1" x14ac:dyDescent="0.3">
      <c r="A305" s="10">
        <v>43.049940880000001</v>
      </c>
      <c r="B305" s="5">
        <f t="shared" si="9"/>
        <v>5.3308860474618456</v>
      </c>
      <c r="C305" s="5">
        <f t="shared" si="8"/>
        <v>28.418346051023377</v>
      </c>
    </row>
    <row r="306" spans="1:3" ht="12.75" customHeight="1" thickBot="1" x14ac:dyDescent="0.3">
      <c r="A306" s="10">
        <v>43.015903590000001</v>
      </c>
      <c r="B306" s="5">
        <f t="shared" si="9"/>
        <v>5.296848757461845</v>
      </c>
      <c r="C306" s="5">
        <f t="shared" si="8"/>
        <v>28.05660675942509</v>
      </c>
    </row>
    <row r="307" spans="1:3" ht="12.75" customHeight="1" thickBot="1" x14ac:dyDescent="0.3">
      <c r="A307" s="10">
        <v>55.354257709999999</v>
      </c>
      <c r="B307" s="5">
        <f t="shared" si="9"/>
        <v>17.635202877461843</v>
      </c>
      <c r="C307" s="5">
        <f t="shared" si="8"/>
        <v>311.0003805292385</v>
      </c>
    </row>
    <row r="308" spans="1:3" ht="12.75" customHeight="1" thickBot="1" x14ac:dyDescent="0.3">
      <c r="A308" s="10">
        <v>32.051982969999997</v>
      </c>
      <c r="B308" s="5">
        <f t="shared" si="9"/>
        <v>5.6670718625381582</v>
      </c>
      <c r="C308" s="5">
        <f t="shared" si="8"/>
        <v>32.115703495171708</v>
      </c>
    </row>
    <row r="309" spans="1:3" ht="12.75" customHeight="1" thickBot="1" x14ac:dyDescent="0.3">
      <c r="A309" s="10">
        <v>35.426987689999997</v>
      </c>
      <c r="B309" s="5">
        <f t="shared" si="9"/>
        <v>2.2920671425381585</v>
      </c>
      <c r="C309" s="5">
        <f t="shared" si="8"/>
        <v>5.2535717859030386</v>
      </c>
    </row>
    <row r="310" spans="1:3" ht="12.75" customHeight="1" thickBot="1" x14ac:dyDescent="0.3">
      <c r="A310" s="10">
        <v>53.183968929999999</v>
      </c>
      <c r="B310" s="5">
        <f t="shared" si="9"/>
        <v>15.464914097461843</v>
      </c>
      <c r="C310" s="5">
        <f t="shared" si="8"/>
        <v>239.16356804187407</v>
      </c>
    </row>
    <row r="311" spans="1:3" ht="12.75" customHeight="1" thickBot="1" x14ac:dyDescent="0.3">
      <c r="A311" s="10">
        <v>51.991129549999997</v>
      </c>
      <c r="B311" s="5">
        <f t="shared" si="9"/>
        <v>14.272074717461841</v>
      </c>
      <c r="C311" s="5">
        <f t="shared" si="8"/>
        <v>203.69211674081347</v>
      </c>
    </row>
    <row r="312" spans="1:3" ht="12.75" customHeight="1" thickBot="1" x14ac:dyDescent="0.3">
      <c r="A312" s="10">
        <v>44.40358415</v>
      </c>
      <c r="B312" s="5">
        <f t="shared" si="9"/>
        <v>6.6845293174618448</v>
      </c>
      <c r="C312" s="5">
        <f t="shared" si="8"/>
        <v>44.682932196006917</v>
      </c>
    </row>
    <row r="313" spans="1:3" ht="12.75" customHeight="1" thickBot="1" x14ac:dyDescent="0.3">
      <c r="A313" s="10">
        <v>48.17845466</v>
      </c>
      <c r="B313" s="5">
        <f t="shared" si="9"/>
        <v>10.459399827461844</v>
      </c>
      <c r="C313" s="5">
        <f t="shared" si="8"/>
        <v>109.39904475070885</v>
      </c>
    </row>
    <row r="314" spans="1:3" ht="12.75" customHeight="1" thickBot="1" x14ac:dyDescent="0.3">
      <c r="A314" s="10">
        <v>54.64450824</v>
      </c>
      <c r="B314" s="5">
        <f t="shared" si="9"/>
        <v>16.925453407461845</v>
      </c>
      <c r="C314" s="5">
        <f t="shared" si="8"/>
        <v>286.4709730481618</v>
      </c>
    </row>
    <row r="315" spans="1:3" ht="12.75" customHeight="1" thickBot="1" x14ac:dyDescent="0.3">
      <c r="A315" s="10">
        <v>30.080632399999999</v>
      </c>
      <c r="B315" s="5">
        <f t="shared" si="9"/>
        <v>7.6384224325381567</v>
      </c>
      <c r="C315" s="5">
        <f t="shared" si="8"/>
        <v>58.345497257902132</v>
      </c>
    </row>
    <row r="316" spans="1:3" ht="12.75" customHeight="1" thickBot="1" x14ac:dyDescent="0.3">
      <c r="A316" s="10">
        <v>29.31439039</v>
      </c>
      <c r="B316" s="5">
        <f t="shared" si="9"/>
        <v>8.4046644425381558</v>
      </c>
      <c r="C316" s="5">
        <f t="shared" si="8"/>
        <v>70.638384391665213</v>
      </c>
    </row>
    <row r="317" spans="1:3" ht="12.75" customHeight="1" thickBot="1" x14ac:dyDescent="0.3">
      <c r="A317" s="10">
        <v>23.376040790000001</v>
      </c>
      <c r="B317" s="5">
        <f t="shared" si="9"/>
        <v>14.343014042538154</v>
      </c>
      <c r="C317" s="5">
        <f t="shared" si="8"/>
        <v>205.72205182444668</v>
      </c>
    </row>
    <row r="318" spans="1:3" ht="12.75" customHeight="1" thickBot="1" x14ac:dyDescent="0.3">
      <c r="A318" s="10">
        <v>46.841181380000002</v>
      </c>
      <c r="B318" s="5">
        <f t="shared" si="9"/>
        <v>9.1221265474618463</v>
      </c>
      <c r="C318" s="5">
        <f t="shared" si="8"/>
        <v>83.213192747908181</v>
      </c>
    </row>
    <row r="319" spans="1:3" ht="12.75" customHeight="1" thickBot="1" x14ac:dyDescent="0.3">
      <c r="A319" s="10">
        <v>26.438498169999999</v>
      </c>
      <c r="B319" s="5">
        <f t="shared" si="9"/>
        <v>11.280556662538157</v>
      </c>
      <c r="C319" s="5">
        <f t="shared" si="8"/>
        <v>127.250958616734</v>
      </c>
    </row>
    <row r="320" spans="1:3" ht="12.75" customHeight="1" thickBot="1" x14ac:dyDescent="0.3">
      <c r="A320" s="10">
        <v>44.158026649999996</v>
      </c>
      <c r="B320" s="5">
        <f t="shared" si="9"/>
        <v>6.4389718174618409</v>
      </c>
      <c r="C320" s="5">
        <f t="shared" si="8"/>
        <v>41.46035806606784</v>
      </c>
    </row>
    <row r="321" spans="1:3" ht="12.75" customHeight="1" thickBot="1" x14ac:dyDescent="0.3">
      <c r="A321" s="10">
        <v>53.76523753</v>
      </c>
      <c r="B321" s="5">
        <f t="shared" si="9"/>
        <v>16.046182697461845</v>
      </c>
      <c r="C321" s="5">
        <f t="shared" si="8"/>
        <v>257.47997916032386</v>
      </c>
    </row>
    <row r="322" spans="1:3" ht="12.75" customHeight="1" thickBot="1" x14ac:dyDescent="0.3">
      <c r="A322" s="10">
        <v>52.499246319999997</v>
      </c>
      <c r="B322" s="5">
        <f t="shared" si="9"/>
        <v>14.780191487461842</v>
      </c>
      <c r="C322" s="5">
        <f t="shared" si="8"/>
        <v>218.4540604060395</v>
      </c>
    </row>
    <row r="323" spans="1:3" ht="12.75" customHeight="1" thickBot="1" x14ac:dyDescent="0.3">
      <c r="A323" s="10">
        <v>47.321667230000003</v>
      </c>
      <c r="B323" s="5">
        <f t="shared" si="9"/>
        <v>9.6026123974618471</v>
      </c>
      <c r="C323" s="5">
        <f t="shared" ref="C323:C386" si="10">POWER(B323,2)</f>
        <v>92.210164855887967</v>
      </c>
    </row>
    <row r="324" spans="1:3" ht="12.75" customHeight="1" thickBot="1" x14ac:dyDescent="0.3">
      <c r="A324" s="10">
        <v>12.40328029</v>
      </c>
      <c r="B324" s="5">
        <f t="shared" si="9"/>
        <v>25.315774542538158</v>
      </c>
      <c r="C324" s="5">
        <f t="shared" si="10"/>
        <v>640.88844068862306</v>
      </c>
    </row>
    <row r="325" spans="1:3" ht="12.75" customHeight="1" thickBot="1" x14ac:dyDescent="0.3">
      <c r="A325" s="10">
        <v>17.661853700000002</v>
      </c>
      <c r="B325" s="5">
        <f t="shared" si="9"/>
        <v>20.057201132538154</v>
      </c>
      <c r="C325" s="5">
        <f t="shared" si="10"/>
        <v>402.29131727108978</v>
      </c>
    </row>
    <row r="326" spans="1:3" ht="12.75" customHeight="1" thickBot="1" x14ac:dyDescent="0.3">
      <c r="A326" s="10">
        <v>45.437279969999999</v>
      </c>
      <c r="B326" s="5">
        <f t="shared" si="9"/>
        <v>7.7182251374618431</v>
      </c>
      <c r="C326" s="5">
        <f t="shared" si="10"/>
        <v>59.570999272547887</v>
      </c>
    </row>
    <row r="327" spans="1:3" ht="12.75" customHeight="1" thickBot="1" x14ac:dyDescent="0.3">
      <c r="A327" s="10">
        <v>61.963144380000003</v>
      </c>
      <c r="B327" s="5">
        <f t="shared" si="9"/>
        <v>24.244089547461847</v>
      </c>
      <c r="C327" s="5">
        <f t="shared" si="10"/>
        <v>587.77587798534876</v>
      </c>
    </row>
    <row r="328" spans="1:3" ht="12.75" customHeight="1" thickBot="1" x14ac:dyDescent="0.3">
      <c r="A328" s="10">
        <v>49.678906449999999</v>
      </c>
      <c r="B328" s="5">
        <f t="shared" si="9"/>
        <v>11.959851617461844</v>
      </c>
      <c r="C328" s="5">
        <f t="shared" si="10"/>
        <v>143.03805071170467</v>
      </c>
    </row>
    <row r="329" spans="1:3" ht="12.75" customHeight="1" thickBot="1" x14ac:dyDescent="0.3">
      <c r="A329" s="10">
        <v>37.371249910000003</v>
      </c>
      <c r="B329" s="5">
        <f t="shared" ref="B329:B392" si="11">ABS(A329-$E$2)</f>
        <v>0.34780492253815254</v>
      </c>
      <c r="C329" s="5">
        <f t="shared" si="10"/>
        <v>0.12096826414177028</v>
      </c>
    </row>
    <row r="330" spans="1:3" ht="12.75" customHeight="1" thickBot="1" x14ac:dyDescent="0.3">
      <c r="A330" s="10">
        <v>35.305709700000001</v>
      </c>
      <c r="B330" s="5">
        <f t="shared" si="11"/>
        <v>2.4133451325381543</v>
      </c>
      <c r="C330" s="5">
        <f t="shared" si="10"/>
        <v>5.8242347287456013</v>
      </c>
    </row>
    <row r="331" spans="1:3" ht="12.75" customHeight="1" thickBot="1" x14ac:dyDescent="0.3">
      <c r="A331" s="10">
        <v>26.675189490000001</v>
      </c>
      <c r="B331" s="5">
        <f t="shared" si="11"/>
        <v>11.043865342538155</v>
      </c>
      <c r="C331" s="5">
        <f t="shared" si="10"/>
        <v>121.96696170411539</v>
      </c>
    </row>
    <row r="332" spans="1:3" ht="12.75" customHeight="1" thickBot="1" x14ac:dyDescent="0.3">
      <c r="A332" s="10">
        <v>41.575284490000001</v>
      </c>
      <c r="B332" s="5">
        <f t="shared" si="11"/>
        <v>3.8562296574618458</v>
      </c>
      <c r="C332" s="5">
        <f t="shared" si="10"/>
        <v>14.870507171088304</v>
      </c>
    </row>
    <row r="333" spans="1:3" ht="12.75" customHeight="1" thickBot="1" x14ac:dyDescent="0.3">
      <c r="A333" s="10">
        <v>34.95324669</v>
      </c>
      <c r="B333" s="5">
        <f t="shared" si="11"/>
        <v>2.7658081425381553</v>
      </c>
      <c r="C333" s="5">
        <f t="shared" si="10"/>
        <v>7.6496946813303612</v>
      </c>
    </row>
    <row r="334" spans="1:3" ht="12.75" customHeight="1" thickBot="1" x14ac:dyDescent="0.3">
      <c r="A334" s="10">
        <v>66.783471899999995</v>
      </c>
      <c r="B334" s="5">
        <f t="shared" si="11"/>
        <v>29.064417067461839</v>
      </c>
      <c r="C334" s="5">
        <f t="shared" si="10"/>
        <v>844.74033947136707</v>
      </c>
    </row>
    <row r="335" spans="1:3" ht="12.75" customHeight="1" thickBot="1" x14ac:dyDescent="0.3">
      <c r="A335" s="10">
        <v>64.469020619999995</v>
      </c>
      <c r="B335" s="5">
        <f t="shared" si="11"/>
        <v>26.749965787461839</v>
      </c>
      <c r="C335" s="5">
        <f t="shared" si="10"/>
        <v>715.56066963037892</v>
      </c>
    </row>
    <row r="336" spans="1:3" ht="12.75" customHeight="1" thickBot="1" x14ac:dyDescent="0.3">
      <c r="A336" s="10">
        <v>60.719583309999997</v>
      </c>
      <c r="B336" s="5">
        <f t="shared" si="11"/>
        <v>23.000528477461842</v>
      </c>
      <c r="C336" s="5">
        <f t="shared" si="10"/>
        <v>529.02431024253315</v>
      </c>
    </row>
    <row r="337" spans="1:3" ht="12.75" customHeight="1" thickBot="1" x14ac:dyDescent="0.3">
      <c r="A337" s="10">
        <v>55.186553609999997</v>
      </c>
      <c r="B337" s="5">
        <f t="shared" si="11"/>
        <v>17.467498777461842</v>
      </c>
      <c r="C337" s="5">
        <f t="shared" si="10"/>
        <v>305.11351354063095</v>
      </c>
    </row>
    <row r="338" spans="1:3" ht="12.75" customHeight="1" thickBot="1" x14ac:dyDescent="0.3">
      <c r="A338" s="10">
        <v>54.874224519999999</v>
      </c>
      <c r="B338" s="5">
        <f t="shared" si="11"/>
        <v>17.155169687461843</v>
      </c>
      <c r="C338" s="5">
        <f t="shared" si="10"/>
        <v>294.29984700560965</v>
      </c>
    </row>
    <row r="339" spans="1:3" ht="12.75" customHeight="1" thickBot="1" x14ac:dyDescent="0.3">
      <c r="A339" s="10">
        <v>50.495866190000001</v>
      </c>
      <c r="B339" s="5">
        <f t="shared" si="11"/>
        <v>12.776811357461845</v>
      </c>
      <c r="C339" s="5">
        <f t="shared" si="10"/>
        <v>163.24690846416601</v>
      </c>
    </row>
    <row r="340" spans="1:3" ht="12.75" customHeight="1" thickBot="1" x14ac:dyDescent="0.3">
      <c r="A340" s="10">
        <v>44.755593099999999</v>
      </c>
      <c r="B340" s="5">
        <f t="shared" si="11"/>
        <v>7.0365382674618431</v>
      </c>
      <c r="C340" s="5">
        <f t="shared" si="10"/>
        <v>49.512870789454915</v>
      </c>
    </row>
    <row r="341" spans="1:3" ht="12.75" customHeight="1" thickBot="1" x14ac:dyDescent="0.3">
      <c r="A341" s="10">
        <v>13.73793109</v>
      </c>
      <c r="B341" s="5">
        <f t="shared" si="11"/>
        <v>23.981123742538156</v>
      </c>
      <c r="C341" s="5">
        <f t="shared" si="10"/>
        <v>575.09429595492725</v>
      </c>
    </row>
    <row r="342" spans="1:3" ht="12.75" customHeight="1" thickBot="1" x14ac:dyDescent="0.3">
      <c r="A342" s="10">
        <v>13.232099850000001</v>
      </c>
      <c r="B342" s="5">
        <f t="shared" si="11"/>
        <v>24.486954982538155</v>
      </c>
      <c r="C342" s="5">
        <f t="shared" si="10"/>
        <v>599.61096431685019</v>
      </c>
    </row>
    <row r="343" spans="1:3" ht="12.75" customHeight="1" thickBot="1" x14ac:dyDescent="0.3">
      <c r="A343" s="10">
        <v>57.080170330000001</v>
      </c>
      <c r="B343" s="5">
        <f t="shared" si="11"/>
        <v>19.361115497461846</v>
      </c>
      <c r="C343" s="5">
        <f t="shared" si="10"/>
        <v>374.85279330605726</v>
      </c>
    </row>
    <row r="344" spans="1:3" ht="12.75" customHeight="1" thickBot="1" x14ac:dyDescent="0.3">
      <c r="A344" s="10">
        <v>43.582156840000003</v>
      </c>
      <c r="B344" s="5">
        <f t="shared" si="11"/>
        <v>5.8631020074618476</v>
      </c>
      <c r="C344" s="5">
        <f t="shared" si="10"/>
        <v>34.375965149903145</v>
      </c>
    </row>
    <row r="345" spans="1:3" ht="12.75" customHeight="1" thickBot="1" x14ac:dyDescent="0.3">
      <c r="A345" s="10">
        <v>32.053099570000001</v>
      </c>
      <c r="B345" s="5">
        <f t="shared" si="11"/>
        <v>5.6659552625381551</v>
      </c>
      <c r="C345" s="5">
        <f t="shared" si="10"/>
        <v>32.103049037083814</v>
      </c>
    </row>
    <row r="346" spans="1:3" ht="12.75" customHeight="1" thickBot="1" x14ac:dyDescent="0.3">
      <c r="A346" s="10">
        <v>42.998276400000002</v>
      </c>
      <c r="B346" s="5">
        <f t="shared" si="11"/>
        <v>5.2792215674618461</v>
      </c>
      <c r="C346" s="5">
        <f t="shared" si="10"/>
        <v>27.870180358354311</v>
      </c>
    </row>
    <row r="347" spans="1:3" ht="12.75" customHeight="1" thickBot="1" x14ac:dyDescent="0.3">
      <c r="A347" s="10">
        <v>44.417357940000002</v>
      </c>
      <c r="B347" s="5">
        <f t="shared" si="11"/>
        <v>6.6983031074618467</v>
      </c>
      <c r="C347" s="5">
        <f t="shared" si="10"/>
        <v>44.867264519433029</v>
      </c>
    </row>
    <row r="348" spans="1:3" ht="12.75" customHeight="1" thickBot="1" x14ac:dyDescent="0.3">
      <c r="A348" s="10">
        <v>44.723364199999999</v>
      </c>
      <c r="B348" s="5">
        <f t="shared" si="11"/>
        <v>7.0043093674618433</v>
      </c>
      <c r="C348" s="5">
        <f t="shared" si="10"/>
        <v>49.06034971511373</v>
      </c>
    </row>
    <row r="349" spans="1:3" ht="12.75" customHeight="1" thickBot="1" x14ac:dyDescent="0.3">
      <c r="A349" s="10">
        <v>12.13981508</v>
      </c>
      <c r="B349" s="5">
        <f t="shared" si="11"/>
        <v>25.579239752538157</v>
      </c>
      <c r="C349" s="5">
        <f t="shared" si="10"/>
        <v>654.29750631782838</v>
      </c>
    </row>
    <row r="350" spans="1:3" ht="12.75" customHeight="1" thickBot="1" x14ac:dyDescent="0.3">
      <c r="A350" s="10">
        <v>64.696240000000003</v>
      </c>
      <c r="B350" s="5">
        <f t="shared" si="11"/>
        <v>26.977185167461847</v>
      </c>
      <c r="C350" s="5">
        <f t="shared" si="10"/>
        <v>727.7685195595235</v>
      </c>
    </row>
    <row r="351" spans="1:3" ht="12.75" customHeight="1" thickBot="1" x14ac:dyDescent="0.3">
      <c r="A351" s="10">
        <v>54.163695410000003</v>
      </c>
      <c r="B351" s="5">
        <f t="shared" si="11"/>
        <v>16.444640577461847</v>
      </c>
      <c r="C351" s="5">
        <f t="shared" si="10"/>
        <v>270.4262037219047</v>
      </c>
    </row>
    <row r="352" spans="1:3" ht="12.75" customHeight="1" thickBot="1" x14ac:dyDescent="0.3">
      <c r="A352" s="10">
        <v>37.995867480000001</v>
      </c>
      <c r="B352" s="5">
        <f t="shared" si="11"/>
        <v>0.27681264746184553</v>
      </c>
      <c r="C352" s="5">
        <f t="shared" si="10"/>
        <v>7.6625241794835972E-2</v>
      </c>
    </row>
    <row r="353" spans="1:3" ht="12.75" customHeight="1" thickBot="1" x14ac:dyDescent="0.3">
      <c r="A353" s="10">
        <v>53.957741910000003</v>
      </c>
      <c r="B353" s="5">
        <f t="shared" si="11"/>
        <v>16.238687077461847</v>
      </c>
      <c r="C353" s="5">
        <f t="shared" si="10"/>
        <v>263.6949579997264</v>
      </c>
    </row>
    <row r="354" spans="1:3" ht="12.75" customHeight="1" thickBot="1" x14ac:dyDescent="0.3">
      <c r="A354" s="10">
        <v>46.165430929999999</v>
      </c>
      <c r="B354" s="5">
        <f t="shared" si="11"/>
        <v>8.4463760974618438</v>
      </c>
      <c r="C354" s="5">
        <f t="shared" si="10"/>
        <v>71.34126917977477</v>
      </c>
    </row>
    <row r="355" spans="1:3" ht="12.75" customHeight="1" thickBot="1" x14ac:dyDescent="0.3">
      <c r="A355" s="10">
        <v>58.178358469999999</v>
      </c>
      <c r="B355" s="5">
        <f t="shared" si="11"/>
        <v>20.459303637461844</v>
      </c>
      <c r="C355" s="5">
        <f t="shared" si="10"/>
        <v>418.58310532985945</v>
      </c>
    </row>
    <row r="356" spans="1:3" ht="12.75" customHeight="1" thickBot="1" x14ac:dyDescent="0.3">
      <c r="A356" s="10">
        <v>56.515980159999998</v>
      </c>
      <c r="B356" s="5">
        <f t="shared" si="11"/>
        <v>18.796925327461842</v>
      </c>
      <c r="C356" s="5">
        <f t="shared" si="10"/>
        <v>353.32440176617649</v>
      </c>
    </row>
    <row r="357" spans="1:3" ht="12.75" customHeight="1" thickBot="1" x14ac:dyDescent="0.3">
      <c r="A357" s="10">
        <v>50.278734159999999</v>
      </c>
      <c r="B357" s="5">
        <f t="shared" si="11"/>
        <v>12.559679327461843</v>
      </c>
      <c r="C357" s="5">
        <f t="shared" si="10"/>
        <v>157.74554480867238</v>
      </c>
    </row>
    <row r="358" spans="1:3" ht="12.75" customHeight="1" thickBot="1" x14ac:dyDescent="0.3">
      <c r="A358" s="10">
        <v>65.29007344</v>
      </c>
      <c r="B358" s="5">
        <f t="shared" si="11"/>
        <v>27.571018607461845</v>
      </c>
      <c r="C358" s="5">
        <f t="shared" si="10"/>
        <v>760.16106705300729</v>
      </c>
    </row>
    <row r="359" spans="1:3" ht="12.75" customHeight="1" thickBot="1" x14ac:dyDescent="0.3">
      <c r="A359" s="10">
        <v>49.915430550000004</v>
      </c>
      <c r="B359" s="5">
        <f t="shared" si="11"/>
        <v>12.196375717461848</v>
      </c>
      <c r="C359" s="5">
        <f t="shared" si="10"/>
        <v>148.75158064149301</v>
      </c>
    </row>
    <row r="360" spans="1:3" ht="12.75" customHeight="1" thickBot="1" x14ac:dyDescent="0.3">
      <c r="A360" s="10">
        <v>13.472475660000001</v>
      </c>
      <c r="B360" s="5">
        <f t="shared" si="11"/>
        <v>24.246579172538155</v>
      </c>
      <c r="C360" s="5">
        <f t="shared" si="10"/>
        <v>587.89660157016101</v>
      </c>
    </row>
    <row r="361" spans="1:3" ht="12.75" customHeight="1" thickBot="1" x14ac:dyDescent="0.3">
      <c r="A361" s="10">
        <v>15.75956964</v>
      </c>
      <c r="B361" s="5">
        <f t="shared" si="11"/>
        <v>21.959485192538153</v>
      </c>
      <c r="C361" s="5">
        <f t="shared" si="10"/>
        <v>482.21898992130241</v>
      </c>
    </row>
    <row r="362" spans="1:3" ht="12.75" customHeight="1" thickBot="1" x14ac:dyDescent="0.3">
      <c r="A362" s="10">
        <v>44.466343100000003</v>
      </c>
      <c r="B362" s="5">
        <f t="shared" si="11"/>
        <v>6.7472882674618475</v>
      </c>
      <c r="C362" s="5">
        <f t="shared" si="10"/>
        <v>45.525898964228297</v>
      </c>
    </row>
    <row r="363" spans="1:3" ht="12.75" customHeight="1" thickBot="1" x14ac:dyDescent="0.3">
      <c r="A363" s="10">
        <v>13.53161231</v>
      </c>
      <c r="B363" s="5">
        <f t="shared" si="11"/>
        <v>24.187442522538156</v>
      </c>
      <c r="C363" s="5">
        <f t="shared" si="10"/>
        <v>585.0323757810869</v>
      </c>
    </row>
    <row r="364" spans="1:3" ht="12.75" customHeight="1" thickBot="1" x14ac:dyDescent="0.3">
      <c r="A364" s="10">
        <v>41.099964759999999</v>
      </c>
      <c r="B364" s="5">
        <f t="shared" si="11"/>
        <v>3.3809099274618433</v>
      </c>
      <c r="C364" s="5">
        <f t="shared" si="10"/>
        <v>11.430551937610046</v>
      </c>
    </row>
    <row r="365" spans="1:3" ht="12.75" customHeight="1" thickBot="1" x14ac:dyDescent="0.3">
      <c r="A365" s="10">
        <v>32.457332649999998</v>
      </c>
      <c r="B365" s="5">
        <f t="shared" si="11"/>
        <v>5.2617221825381577</v>
      </c>
      <c r="C365" s="5">
        <f t="shared" si="10"/>
        <v>27.685720326214113</v>
      </c>
    </row>
    <row r="366" spans="1:3" ht="12.75" customHeight="1" thickBot="1" x14ac:dyDescent="0.3">
      <c r="A366" s="10">
        <v>13.89571237</v>
      </c>
      <c r="B366" s="5">
        <f t="shared" si="11"/>
        <v>23.823342462538157</v>
      </c>
      <c r="C366" s="5">
        <f t="shared" si="10"/>
        <v>567.55164608737368</v>
      </c>
    </row>
    <row r="367" spans="1:3" ht="12.75" customHeight="1" thickBot="1" x14ac:dyDescent="0.3">
      <c r="A367" s="10">
        <v>13.12807362</v>
      </c>
      <c r="B367" s="5">
        <f t="shared" si="11"/>
        <v>24.590981212538153</v>
      </c>
      <c r="C367" s="5">
        <f t="shared" si="10"/>
        <v>604.71635699540445</v>
      </c>
    </row>
    <row r="368" spans="1:3" ht="12.75" customHeight="1" thickBot="1" x14ac:dyDescent="0.3">
      <c r="A368" s="10">
        <v>40.963669510000003</v>
      </c>
      <c r="B368" s="5">
        <f t="shared" si="11"/>
        <v>3.244614677461847</v>
      </c>
      <c r="C368" s="5">
        <f t="shared" si="10"/>
        <v>10.527524405200845</v>
      </c>
    </row>
    <row r="369" spans="1:3" ht="12.75" customHeight="1" thickBot="1" x14ac:dyDescent="0.3">
      <c r="A369" s="10">
        <v>12.083710890000001</v>
      </c>
      <c r="B369" s="5">
        <f t="shared" si="11"/>
        <v>25.635343942538157</v>
      </c>
      <c r="C369" s="5">
        <f t="shared" si="10"/>
        <v>657.1708590522278</v>
      </c>
    </row>
    <row r="370" spans="1:3" ht="12.75" customHeight="1" thickBot="1" x14ac:dyDescent="0.3">
      <c r="A370" s="10">
        <v>29.954295210000002</v>
      </c>
      <c r="B370" s="5">
        <f t="shared" si="11"/>
        <v>7.7647596225381541</v>
      </c>
      <c r="C370" s="5">
        <f t="shared" si="10"/>
        <v>60.291491995798857</v>
      </c>
    </row>
    <row r="371" spans="1:3" ht="12.75" customHeight="1" thickBot="1" x14ac:dyDescent="0.3">
      <c r="A371" s="10">
        <v>61.281646219999999</v>
      </c>
      <c r="B371" s="5">
        <f t="shared" si="11"/>
        <v>23.562591387461843</v>
      </c>
      <c r="C371" s="5">
        <f t="shared" si="10"/>
        <v>555.19571289249109</v>
      </c>
    </row>
    <row r="372" spans="1:3" ht="12.75" customHeight="1" thickBot="1" x14ac:dyDescent="0.3">
      <c r="A372" s="10">
        <v>13.187557079999999</v>
      </c>
      <c r="B372" s="5">
        <f t="shared" si="11"/>
        <v>24.531497752538158</v>
      </c>
      <c r="C372" s="5">
        <f t="shared" si="10"/>
        <v>601.79438198278467</v>
      </c>
    </row>
    <row r="373" spans="1:3" ht="12.75" customHeight="1" thickBot="1" x14ac:dyDescent="0.3">
      <c r="A373" s="10">
        <v>15.3638409</v>
      </c>
      <c r="B373" s="5">
        <f t="shared" si="11"/>
        <v>22.355213932538156</v>
      </c>
      <c r="C373" s="5">
        <f t="shared" si="10"/>
        <v>499.75558996954811</v>
      </c>
    </row>
    <row r="374" spans="1:3" ht="12.75" customHeight="1" thickBot="1" x14ac:dyDescent="0.3">
      <c r="A374" s="10">
        <v>45.647685510000002</v>
      </c>
      <c r="B374" s="5">
        <f t="shared" si="11"/>
        <v>7.9286306774618467</v>
      </c>
      <c r="C374" s="5">
        <f t="shared" si="10"/>
        <v>62.863184419589103</v>
      </c>
    </row>
    <row r="375" spans="1:3" ht="12.75" customHeight="1" thickBot="1" x14ac:dyDescent="0.3">
      <c r="A375" s="10">
        <v>15.0518488</v>
      </c>
      <c r="B375" s="5">
        <f t="shared" si="11"/>
        <v>22.667206032538154</v>
      </c>
      <c r="C375" s="5">
        <f t="shared" si="10"/>
        <v>513.80222932153401</v>
      </c>
    </row>
    <row r="376" spans="1:3" ht="12.75" customHeight="1" thickBot="1" x14ac:dyDescent="0.3">
      <c r="A376" s="10">
        <v>87.247529229999998</v>
      </c>
      <c r="B376" s="5">
        <f t="shared" si="11"/>
        <v>49.528474397461842</v>
      </c>
      <c r="C376" s="5">
        <f t="shared" si="10"/>
        <v>2453.0697761400334</v>
      </c>
    </row>
    <row r="377" spans="1:3" ht="12.75" customHeight="1" thickBot="1" x14ac:dyDescent="0.3">
      <c r="A377" s="10">
        <v>56.110076229999997</v>
      </c>
      <c r="B377" s="5">
        <f t="shared" si="11"/>
        <v>18.391021397461842</v>
      </c>
      <c r="C377" s="5">
        <f t="shared" si="10"/>
        <v>338.22966804189929</v>
      </c>
    </row>
    <row r="378" spans="1:3" ht="12.75" customHeight="1" thickBot="1" x14ac:dyDescent="0.3">
      <c r="A378" s="10">
        <v>56.576574280000003</v>
      </c>
      <c r="B378" s="5">
        <f t="shared" si="11"/>
        <v>18.857519447461847</v>
      </c>
      <c r="C378" s="5">
        <f t="shared" si="10"/>
        <v>355.60603971140176</v>
      </c>
    </row>
    <row r="379" spans="1:3" ht="12.75" customHeight="1" thickBot="1" x14ac:dyDescent="0.3">
      <c r="A379" s="10">
        <v>21.155317929999999</v>
      </c>
      <c r="B379" s="5">
        <f t="shared" si="11"/>
        <v>16.563736902538157</v>
      </c>
      <c r="C379" s="5">
        <f t="shared" si="10"/>
        <v>274.35738017650431</v>
      </c>
    </row>
    <row r="380" spans="1:3" ht="12.75" customHeight="1" thickBot="1" x14ac:dyDescent="0.3">
      <c r="A380" s="10">
        <v>18.856913250000002</v>
      </c>
      <c r="B380" s="5">
        <f t="shared" si="11"/>
        <v>18.862141582538154</v>
      </c>
      <c r="C380" s="5">
        <f t="shared" si="10"/>
        <v>355.78038507971496</v>
      </c>
    </row>
    <row r="381" spans="1:3" ht="12.75" customHeight="1" thickBot="1" x14ac:dyDescent="0.3">
      <c r="A381" s="10">
        <v>43.411022559999999</v>
      </c>
      <c r="B381" s="5">
        <f t="shared" si="11"/>
        <v>5.6919677274618437</v>
      </c>
      <c r="C381" s="5">
        <f t="shared" si="10"/>
        <v>32.398496610467141</v>
      </c>
    </row>
    <row r="382" spans="1:3" ht="12.75" customHeight="1" thickBot="1" x14ac:dyDescent="0.3">
      <c r="A382" s="10">
        <v>40.562464210000002</v>
      </c>
      <c r="B382" s="5">
        <f t="shared" si="11"/>
        <v>2.8434093774618461</v>
      </c>
      <c r="C382" s="5">
        <f t="shared" si="10"/>
        <v>8.0849768878379624</v>
      </c>
    </row>
    <row r="383" spans="1:3" ht="12.75" customHeight="1" thickBot="1" x14ac:dyDescent="0.3">
      <c r="A383" s="10">
        <v>39.153476660000003</v>
      </c>
      <c r="B383" s="5">
        <f t="shared" si="11"/>
        <v>1.434421827461847</v>
      </c>
      <c r="C383" s="5">
        <f t="shared" si="10"/>
        <v>2.0575659790989849</v>
      </c>
    </row>
    <row r="384" spans="1:3" ht="12.75" customHeight="1" thickBot="1" x14ac:dyDescent="0.3">
      <c r="A384" s="10">
        <v>11.858989960000001</v>
      </c>
      <c r="B384" s="5">
        <f t="shared" si="11"/>
        <v>25.860064872538153</v>
      </c>
      <c r="C384" s="5">
        <f t="shared" si="10"/>
        <v>668.74295521188174</v>
      </c>
    </row>
    <row r="385" spans="1:3" ht="12.75" customHeight="1" thickBot="1" x14ac:dyDescent="0.3">
      <c r="A385" s="10">
        <v>37.105455630000002</v>
      </c>
      <c r="B385" s="5">
        <f t="shared" si="11"/>
        <v>0.61359920253815403</v>
      </c>
      <c r="C385" s="5">
        <f t="shared" si="10"/>
        <v>0.37650398135545859</v>
      </c>
    </row>
    <row r="386" spans="1:3" ht="12.75" customHeight="1" thickBot="1" x14ac:dyDescent="0.3">
      <c r="A386" s="10">
        <v>13.30162717</v>
      </c>
      <c r="B386" s="5">
        <f t="shared" si="11"/>
        <v>24.417427662538156</v>
      </c>
      <c r="C386" s="5">
        <f t="shared" si="10"/>
        <v>596.21077365528356</v>
      </c>
    </row>
    <row r="387" spans="1:3" ht="12.75" customHeight="1" thickBot="1" x14ac:dyDescent="0.3">
      <c r="A387" s="10">
        <v>13.113986069999999</v>
      </c>
      <c r="B387" s="5">
        <f t="shared" si="11"/>
        <v>24.605068762538156</v>
      </c>
      <c r="C387" s="5">
        <f t="shared" ref="C387:C450" si="12">POWER(B387,2)</f>
        <v>605.40940880923097</v>
      </c>
    </row>
    <row r="388" spans="1:3" ht="12.75" customHeight="1" thickBot="1" x14ac:dyDescent="0.3">
      <c r="A388" s="10">
        <v>13.290575260000001</v>
      </c>
      <c r="B388" s="5">
        <f t="shared" si="11"/>
        <v>24.428479572538155</v>
      </c>
      <c r="C388" s="5">
        <f t="shared" si="12"/>
        <v>596.75061422591386</v>
      </c>
    </row>
    <row r="389" spans="1:3" ht="12.75" customHeight="1" thickBot="1" x14ac:dyDescent="0.3">
      <c r="A389" s="10">
        <v>19.146421190000002</v>
      </c>
      <c r="B389" s="5">
        <f t="shared" si="11"/>
        <v>18.572633642538154</v>
      </c>
      <c r="C389" s="5">
        <f t="shared" si="12"/>
        <v>344.94272041994003</v>
      </c>
    </row>
    <row r="390" spans="1:3" ht="12.75" customHeight="1" thickBot="1" x14ac:dyDescent="0.3">
      <c r="A390" s="10">
        <v>41.17069918</v>
      </c>
      <c r="B390" s="5">
        <f t="shared" si="11"/>
        <v>3.4516443474618441</v>
      </c>
      <c r="C390" s="5">
        <f t="shared" si="12"/>
        <v>11.9138487013653</v>
      </c>
    </row>
    <row r="391" spans="1:3" ht="12.75" customHeight="1" thickBot="1" x14ac:dyDescent="0.3">
      <c r="A391" s="10">
        <v>46.108547340000001</v>
      </c>
      <c r="B391" s="5">
        <f t="shared" si="11"/>
        <v>8.3894925074618456</v>
      </c>
      <c r="C391" s="5">
        <f t="shared" si="12"/>
        <v>70.383584532758448</v>
      </c>
    </row>
    <row r="392" spans="1:3" ht="12.75" customHeight="1" thickBot="1" x14ac:dyDescent="0.3">
      <c r="A392" s="10">
        <v>42.119220050000003</v>
      </c>
      <c r="B392" s="5">
        <f t="shared" si="11"/>
        <v>4.4001652174618471</v>
      </c>
      <c r="C392" s="5">
        <f t="shared" si="12"/>
        <v>19.361453940961063</v>
      </c>
    </row>
    <row r="393" spans="1:3" ht="12.75" customHeight="1" thickBot="1" x14ac:dyDescent="0.3">
      <c r="A393" s="10">
        <v>11.56738621</v>
      </c>
      <c r="B393" s="5">
        <f t="shared" ref="B393:B456" si="13">ABS(A393-$E$2)</f>
        <v>26.151668622538153</v>
      </c>
      <c r="C393" s="5">
        <f t="shared" si="12"/>
        <v>683.90977174304658</v>
      </c>
    </row>
    <row r="394" spans="1:3" ht="12.75" customHeight="1" thickBot="1" x14ac:dyDescent="0.3">
      <c r="A394" s="10">
        <v>61.66309201</v>
      </c>
      <c r="B394" s="5">
        <f t="shared" si="13"/>
        <v>23.944037177461844</v>
      </c>
      <c r="C394" s="5">
        <f t="shared" si="12"/>
        <v>573.31691635567495</v>
      </c>
    </row>
    <row r="395" spans="1:3" ht="12.75" customHeight="1" thickBot="1" x14ac:dyDescent="0.3">
      <c r="A395" s="10">
        <v>28.727636650000001</v>
      </c>
      <c r="B395" s="5">
        <f t="shared" si="13"/>
        <v>8.9914181825381547</v>
      </c>
      <c r="C395" s="5">
        <f t="shared" si="12"/>
        <v>80.845600933277737</v>
      </c>
    </row>
    <row r="396" spans="1:3" ht="12.75" customHeight="1" thickBot="1" x14ac:dyDescent="0.3">
      <c r="A396" s="10">
        <v>33.177630299999997</v>
      </c>
      <c r="B396" s="5">
        <f t="shared" si="13"/>
        <v>4.5414245325381586</v>
      </c>
      <c r="C396" s="5">
        <f t="shared" si="12"/>
        <v>20.624536784739433</v>
      </c>
    </row>
    <row r="397" spans="1:3" ht="12.75" customHeight="1" thickBot="1" x14ac:dyDescent="0.3">
      <c r="A397" s="10">
        <v>41.064876820000002</v>
      </c>
      <c r="B397" s="5">
        <f t="shared" si="13"/>
        <v>3.3458219874618464</v>
      </c>
      <c r="C397" s="5">
        <f t="shared" si="12"/>
        <v>11.19452477178314</v>
      </c>
    </row>
    <row r="398" spans="1:3" ht="12.75" customHeight="1" thickBot="1" x14ac:dyDescent="0.3">
      <c r="A398" s="10">
        <v>22.26578185</v>
      </c>
      <c r="B398" s="5">
        <f t="shared" si="13"/>
        <v>15.453272982538156</v>
      </c>
      <c r="C398" s="5">
        <f t="shared" si="12"/>
        <v>238.8036458728437</v>
      </c>
    </row>
    <row r="399" spans="1:3" ht="12.75" customHeight="1" thickBot="1" x14ac:dyDescent="0.3">
      <c r="A399" s="10">
        <v>53.862153939999999</v>
      </c>
      <c r="B399" s="5">
        <f t="shared" si="13"/>
        <v>16.143099107461843</v>
      </c>
      <c r="C399" s="5">
        <f t="shared" si="12"/>
        <v>260.59964879333535</v>
      </c>
    </row>
    <row r="400" spans="1:3" ht="12.75" customHeight="1" thickBot="1" x14ac:dyDescent="0.3">
      <c r="A400" s="10">
        <v>25.011374880000002</v>
      </c>
      <c r="B400" s="5">
        <f t="shared" si="13"/>
        <v>12.707679952538154</v>
      </c>
      <c r="C400" s="5">
        <f t="shared" si="12"/>
        <v>161.4851297761401</v>
      </c>
    </row>
    <row r="401" spans="1:3" ht="12.75" customHeight="1" thickBot="1" x14ac:dyDescent="0.3">
      <c r="A401" s="10">
        <v>54.646996489999999</v>
      </c>
      <c r="B401" s="5">
        <f t="shared" si="13"/>
        <v>16.927941657461844</v>
      </c>
      <c r="C401" s="5">
        <f t="shared" si="12"/>
        <v>286.55520875843206</v>
      </c>
    </row>
    <row r="402" spans="1:3" ht="12.75" customHeight="1" thickBot="1" x14ac:dyDescent="0.3">
      <c r="A402" s="10">
        <v>52.085412830000003</v>
      </c>
      <c r="B402" s="5">
        <f t="shared" si="13"/>
        <v>14.366357997461847</v>
      </c>
      <c r="C402" s="5">
        <f t="shared" si="12"/>
        <v>206.39224211123599</v>
      </c>
    </row>
    <row r="403" spans="1:3" ht="12.75" customHeight="1" thickBot="1" x14ac:dyDescent="0.3">
      <c r="A403" s="10">
        <v>33.494572910000002</v>
      </c>
      <c r="B403" s="5">
        <f t="shared" si="13"/>
        <v>4.2244819225381534</v>
      </c>
      <c r="C403" s="5">
        <f t="shared" si="12"/>
        <v>17.846247513851651</v>
      </c>
    </row>
    <row r="404" spans="1:3" ht="12.75" customHeight="1" thickBot="1" x14ac:dyDescent="0.3">
      <c r="A404" s="10">
        <v>39.898742589999998</v>
      </c>
      <c r="B404" s="5">
        <f t="shared" si="13"/>
        <v>2.1796877574618421</v>
      </c>
      <c r="C404" s="5">
        <f t="shared" si="12"/>
        <v>4.751038720029034</v>
      </c>
    </row>
    <row r="405" spans="1:3" ht="12.75" customHeight="1" thickBot="1" x14ac:dyDescent="0.3">
      <c r="A405" s="10">
        <v>12.61133873</v>
      </c>
      <c r="B405" s="5">
        <f t="shared" si="13"/>
        <v>25.107716102538156</v>
      </c>
      <c r="C405" s="5">
        <f t="shared" si="12"/>
        <v>630.39740788565382</v>
      </c>
    </row>
    <row r="406" spans="1:3" ht="12.75" customHeight="1" thickBot="1" x14ac:dyDescent="0.3">
      <c r="A406" s="10">
        <v>37.142675429999997</v>
      </c>
      <c r="B406" s="5">
        <f t="shared" si="13"/>
        <v>0.57637940253815856</v>
      </c>
      <c r="C406" s="5">
        <f t="shared" si="12"/>
        <v>0.33221321567024464</v>
      </c>
    </row>
    <row r="407" spans="1:3" ht="12.75" customHeight="1" thickBot="1" x14ac:dyDescent="0.3">
      <c r="A407" s="10">
        <v>47.158054239999998</v>
      </c>
      <c r="B407" s="5">
        <f t="shared" si="13"/>
        <v>9.4389994074618428</v>
      </c>
      <c r="C407" s="5">
        <f t="shared" si="12"/>
        <v>89.094709814065027</v>
      </c>
    </row>
    <row r="408" spans="1:3" ht="12.75" customHeight="1" thickBot="1" x14ac:dyDescent="0.3">
      <c r="A408" s="10">
        <v>15.49848967</v>
      </c>
      <c r="B408" s="5">
        <f t="shared" si="13"/>
        <v>22.220565162538158</v>
      </c>
      <c r="C408" s="5">
        <f t="shared" si="12"/>
        <v>493.75351614260444</v>
      </c>
    </row>
    <row r="409" spans="1:3" ht="12.75" customHeight="1" thickBot="1" x14ac:dyDescent="0.3">
      <c r="A409" s="10">
        <v>41.370094950000002</v>
      </c>
      <c r="B409" s="5">
        <f t="shared" si="13"/>
        <v>3.6510401174618465</v>
      </c>
      <c r="C409" s="5">
        <f t="shared" si="12"/>
        <v>13.330093939315814</v>
      </c>
    </row>
    <row r="410" spans="1:3" ht="12.75" customHeight="1" thickBot="1" x14ac:dyDescent="0.3">
      <c r="A410" s="10">
        <v>39.926477779999999</v>
      </c>
      <c r="B410" s="5">
        <f t="shared" si="13"/>
        <v>2.2074229474618434</v>
      </c>
      <c r="C410" s="5">
        <f t="shared" si="12"/>
        <v>4.8727160689811324</v>
      </c>
    </row>
    <row r="411" spans="1:3" ht="12.75" customHeight="1" thickBot="1" x14ac:dyDescent="0.3">
      <c r="A411" s="10">
        <v>21.93818572</v>
      </c>
      <c r="B411" s="5">
        <f t="shared" si="13"/>
        <v>15.780869112538156</v>
      </c>
      <c r="C411" s="5">
        <f t="shared" si="12"/>
        <v>249.03582994706079</v>
      </c>
    </row>
    <row r="412" spans="1:3" ht="12.75" customHeight="1" thickBot="1" x14ac:dyDescent="0.3">
      <c r="A412" s="10">
        <v>41.955994400000002</v>
      </c>
      <c r="B412" s="5">
        <f t="shared" si="13"/>
        <v>4.236939567461846</v>
      </c>
      <c r="C412" s="5">
        <f t="shared" si="12"/>
        <v>17.951656898323776</v>
      </c>
    </row>
    <row r="413" spans="1:3" ht="12.75" customHeight="1" thickBot="1" x14ac:dyDescent="0.3">
      <c r="A413" s="10">
        <v>25.737272959999999</v>
      </c>
      <c r="B413" s="5">
        <f t="shared" si="13"/>
        <v>11.981781872538157</v>
      </c>
      <c r="C413" s="5">
        <f t="shared" si="12"/>
        <v>143.56309684108399</v>
      </c>
    </row>
    <row r="414" spans="1:3" ht="12.75" customHeight="1" thickBot="1" x14ac:dyDescent="0.3">
      <c r="A414" s="10">
        <v>36.914239219999999</v>
      </c>
      <c r="B414" s="5">
        <f t="shared" si="13"/>
        <v>0.8048156125381567</v>
      </c>
      <c r="C414" s="5">
        <f t="shared" si="12"/>
        <v>0.64772817018516837</v>
      </c>
    </row>
    <row r="415" spans="1:3" ht="12.75" customHeight="1" thickBot="1" x14ac:dyDescent="0.3">
      <c r="A415" s="10">
        <v>19.178505990000001</v>
      </c>
      <c r="B415" s="5">
        <f t="shared" si="13"/>
        <v>18.540548842538154</v>
      </c>
      <c r="C415" s="5">
        <f t="shared" si="12"/>
        <v>343.75195138254287</v>
      </c>
    </row>
    <row r="416" spans="1:3" ht="12.75" customHeight="1" thickBot="1" x14ac:dyDescent="0.3">
      <c r="A416" s="10">
        <v>47.913038110000002</v>
      </c>
      <c r="B416" s="5">
        <f t="shared" si="13"/>
        <v>10.193983277461847</v>
      </c>
      <c r="C416" s="5">
        <f t="shared" si="12"/>
        <v>103.91729506117177</v>
      </c>
    </row>
    <row r="417" spans="1:3" ht="12.75" customHeight="1" thickBot="1" x14ac:dyDescent="0.3">
      <c r="A417" s="10">
        <v>47.689699820000001</v>
      </c>
      <c r="B417" s="5">
        <f t="shared" si="13"/>
        <v>9.9706449874618457</v>
      </c>
      <c r="C417" s="5">
        <f t="shared" si="12"/>
        <v>99.413761465998036</v>
      </c>
    </row>
    <row r="418" spans="1:3" ht="12.75" customHeight="1" thickBot="1" x14ac:dyDescent="0.3">
      <c r="A418" s="10">
        <v>66.221073340000004</v>
      </c>
      <c r="B418" s="5">
        <f t="shared" si="13"/>
        <v>28.502018507461848</v>
      </c>
      <c r="C418" s="5">
        <f t="shared" si="12"/>
        <v>812.36505899969768</v>
      </c>
    </row>
    <row r="419" spans="1:3" ht="12.75" customHeight="1" thickBot="1" x14ac:dyDescent="0.3">
      <c r="A419" s="10">
        <v>55.820440130000001</v>
      </c>
      <c r="B419" s="5">
        <f t="shared" si="13"/>
        <v>18.101385297461846</v>
      </c>
      <c r="C419" s="5">
        <f t="shared" si="12"/>
        <v>327.66014968716786</v>
      </c>
    </row>
    <row r="420" spans="1:3" ht="12.75" customHeight="1" thickBot="1" x14ac:dyDescent="0.3">
      <c r="A420" s="10">
        <v>50.87282416</v>
      </c>
      <c r="B420" s="5">
        <f t="shared" si="13"/>
        <v>13.153769327461845</v>
      </c>
      <c r="C420" s="5">
        <f t="shared" si="12"/>
        <v>173.02164752007604</v>
      </c>
    </row>
    <row r="421" spans="1:3" ht="12.75" customHeight="1" thickBot="1" x14ac:dyDescent="0.3">
      <c r="A421" s="10">
        <v>51.249193900000002</v>
      </c>
      <c r="B421" s="5">
        <f t="shared" si="13"/>
        <v>13.530139067461846</v>
      </c>
      <c r="C421" s="5">
        <f t="shared" si="12"/>
        <v>183.06466318485732</v>
      </c>
    </row>
    <row r="422" spans="1:3" ht="12.75" customHeight="1" thickBot="1" x14ac:dyDescent="0.3">
      <c r="A422" s="10">
        <v>62.18433632</v>
      </c>
      <c r="B422" s="5">
        <f t="shared" si="13"/>
        <v>24.465281487461844</v>
      </c>
      <c r="C422" s="5">
        <f t="shared" si="12"/>
        <v>598.54999826074322</v>
      </c>
    </row>
    <row r="423" spans="1:3" ht="12.75" customHeight="1" thickBot="1" x14ac:dyDescent="0.3">
      <c r="A423" s="10">
        <v>52.868133999999998</v>
      </c>
      <c r="B423" s="5">
        <f t="shared" si="13"/>
        <v>15.149079167461842</v>
      </c>
      <c r="C423" s="5">
        <f t="shared" si="12"/>
        <v>229.49459962202639</v>
      </c>
    </row>
    <row r="424" spans="1:3" ht="12.75" customHeight="1" thickBot="1" x14ac:dyDescent="0.3">
      <c r="A424" s="10">
        <v>56.817421289999999</v>
      </c>
      <c r="B424" s="5">
        <f t="shared" si="13"/>
        <v>19.098366457461843</v>
      </c>
      <c r="C424" s="5">
        <f t="shared" si="12"/>
        <v>364.74760134350362</v>
      </c>
    </row>
    <row r="425" spans="1:3" ht="12.75" customHeight="1" thickBot="1" x14ac:dyDescent="0.3">
      <c r="A425" s="10">
        <v>37.418075719999997</v>
      </c>
      <c r="B425" s="5">
        <f t="shared" si="13"/>
        <v>0.30097911253815823</v>
      </c>
      <c r="C425" s="5">
        <f t="shared" si="12"/>
        <v>9.0588426184257317E-2</v>
      </c>
    </row>
    <row r="426" spans="1:3" ht="12.75" customHeight="1" thickBot="1" x14ac:dyDescent="0.3">
      <c r="A426" s="10">
        <v>52.415718470000002</v>
      </c>
      <c r="B426" s="5">
        <f t="shared" si="13"/>
        <v>14.696663637461846</v>
      </c>
      <c r="C426" s="5">
        <f t="shared" si="12"/>
        <v>215.99192207269326</v>
      </c>
    </row>
    <row r="427" spans="1:3" ht="12.75" customHeight="1" thickBot="1" x14ac:dyDescent="0.3">
      <c r="A427" s="10">
        <v>56.530410600000003</v>
      </c>
      <c r="B427" s="5">
        <f t="shared" si="13"/>
        <v>18.811355767461848</v>
      </c>
      <c r="C427" s="5">
        <f t="shared" si="12"/>
        <v>353.86710581002012</v>
      </c>
    </row>
    <row r="428" spans="1:3" ht="12.75" customHeight="1" thickBot="1" x14ac:dyDescent="0.3">
      <c r="A428" s="10">
        <v>12.01085146</v>
      </c>
      <c r="B428" s="5">
        <f t="shared" si="13"/>
        <v>25.708203372538158</v>
      </c>
      <c r="C428" s="5">
        <f t="shared" si="12"/>
        <v>660.91172064378236</v>
      </c>
    </row>
    <row r="429" spans="1:3" ht="12.75" customHeight="1" thickBot="1" x14ac:dyDescent="0.3">
      <c r="A429" s="10">
        <v>15.76151589</v>
      </c>
      <c r="B429" s="5">
        <f t="shared" si="13"/>
        <v>21.957538942538157</v>
      </c>
      <c r="C429" s="5">
        <f t="shared" si="12"/>
        <v>482.13351641307969</v>
      </c>
    </row>
    <row r="430" spans="1:3" ht="12.75" customHeight="1" thickBot="1" x14ac:dyDescent="0.3">
      <c r="A430" s="10">
        <v>17.71357587</v>
      </c>
      <c r="B430" s="5">
        <f t="shared" si="13"/>
        <v>20.005478962538156</v>
      </c>
      <c r="C430" s="5">
        <f t="shared" si="12"/>
        <v>400.21918852055671</v>
      </c>
    </row>
    <row r="431" spans="1:3" ht="12.75" customHeight="1" thickBot="1" x14ac:dyDescent="0.3">
      <c r="A431" s="10">
        <v>16.504420580000001</v>
      </c>
      <c r="B431" s="5">
        <f t="shared" si="13"/>
        <v>21.214634252538154</v>
      </c>
      <c r="C431" s="5">
        <f t="shared" si="12"/>
        <v>450.06070646896507</v>
      </c>
    </row>
    <row r="432" spans="1:3" ht="12.75" customHeight="1" thickBot="1" x14ac:dyDescent="0.3">
      <c r="A432" s="10">
        <v>56.138894039999997</v>
      </c>
      <c r="B432" s="5">
        <f t="shared" si="13"/>
        <v>18.419839207461841</v>
      </c>
      <c r="C432" s="5">
        <f t="shared" si="12"/>
        <v>339.29047642874849</v>
      </c>
    </row>
    <row r="433" spans="1:3" ht="12.75" customHeight="1" thickBot="1" x14ac:dyDescent="0.3">
      <c r="A433" s="10">
        <v>63.219486199999999</v>
      </c>
      <c r="B433" s="5">
        <f t="shared" si="13"/>
        <v>25.500431367461843</v>
      </c>
      <c r="C433" s="5">
        <f t="shared" si="12"/>
        <v>650.27199992663191</v>
      </c>
    </row>
    <row r="434" spans="1:3" ht="12.75" customHeight="1" thickBot="1" x14ac:dyDescent="0.3">
      <c r="A434" s="10">
        <v>55.745678509999998</v>
      </c>
      <c r="B434" s="5">
        <f t="shared" si="13"/>
        <v>18.026623677461842</v>
      </c>
      <c r="C434" s="5">
        <f t="shared" si="12"/>
        <v>324.95916120882788</v>
      </c>
    </row>
    <row r="435" spans="1:3" ht="12.75" customHeight="1" thickBot="1" x14ac:dyDescent="0.3">
      <c r="A435" s="10">
        <v>49.33344048</v>
      </c>
      <c r="B435" s="5">
        <f t="shared" si="13"/>
        <v>11.614385647461845</v>
      </c>
      <c r="C435" s="5">
        <f t="shared" si="12"/>
        <v>134.89395396796769</v>
      </c>
    </row>
    <row r="436" spans="1:3" ht="12.75" customHeight="1" thickBot="1" x14ac:dyDescent="0.3">
      <c r="A436" s="10">
        <v>51.228581920000003</v>
      </c>
      <c r="B436" s="5">
        <f t="shared" si="13"/>
        <v>13.509527087461848</v>
      </c>
      <c r="C436" s="5">
        <f t="shared" si="12"/>
        <v>182.5073221268654</v>
      </c>
    </row>
    <row r="437" spans="1:3" ht="12.75" customHeight="1" thickBot="1" x14ac:dyDescent="0.3">
      <c r="A437" s="10">
        <v>46.950448369999997</v>
      </c>
      <c r="B437" s="5">
        <f t="shared" si="13"/>
        <v>9.231393537461841</v>
      </c>
      <c r="C437" s="5">
        <f t="shared" si="12"/>
        <v>85.218626643492243</v>
      </c>
    </row>
    <row r="438" spans="1:3" ht="12.75" customHeight="1" thickBot="1" x14ac:dyDescent="0.3">
      <c r="A438" s="10">
        <v>46.267384180000001</v>
      </c>
      <c r="B438" s="5">
        <f t="shared" si="13"/>
        <v>8.5483293474618449</v>
      </c>
      <c r="C438" s="5">
        <f t="shared" si="12"/>
        <v>73.073934632677449</v>
      </c>
    </row>
    <row r="439" spans="1:3" ht="12.75" customHeight="1" thickBot="1" x14ac:dyDescent="0.3">
      <c r="A439" s="10">
        <v>15.944742290000001</v>
      </c>
      <c r="B439" s="5">
        <f t="shared" si="13"/>
        <v>21.774312542538155</v>
      </c>
      <c r="C439" s="5">
        <f t="shared" si="12"/>
        <v>474.1206867001344</v>
      </c>
    </row>
    <row r="440" spans="1:3" ht="12.75" customHeight="1" thickBot="1" x14ac:dyDescent="0.3">
      <c r="A440" s="10">
        <v>51.593882239999999</v>
      </c>
      <c r="B440" s="5">
        <f t="shared" si="13"/>
        <v>13.874827407461844</v>
      </c>
      <c r="C440" s="5">
        <f t="shared" si="12"/>
        <v>192.51083558685434</v>
      </c>
    </row>
    <row r="441" spans="1:3" ht="12.75" customHeight="1" thickBot="1" x14ac:dyDescent="0.3">
      <c r="A441" s="10">
        <v>15.937804829999999</v>
      </c>
      <c r="B441" s="5">
        <f t="shared" si="13"/>
        <v>21.781250002538158</v>
      </c>
      <c r="C441" s="5">
        <f t="shared" si="12"/>
        <v>474.42285167306852</v>
      </c>
    </row>
    <row r="442" spans="1:3" ht="12.75" customHeight="1" thickBot="1" x14ac:dyDescent="0.3">
      <c r="A442" s="10">
        <v>18.288979390000002</v>
      </c>
      <c r="B442" s="5">
        <f t="shared" si="13"/>
        <v>19.430075442538154</v>
      </c>
      <c r="C442" s="5">
        <f t="shared" si="12"/>
        <v>377.52783170272426</v>
      </c>
    </row>
    <row r="443" spans="1:3" ht="12.75" customHeight="1" thickBot="1" x14ac:dyDescent="0.3">
      <c r="A443" s="10">
        <v>55.173669539999999</v>
      </c>
      <c r="B443" s="5">
        <f t="shared" si="13"/>
        <v>17.454614707461843</v>
      </c>
      <c r="C443" s="5">
        <f t="shared" si="12"/>
        <v>304.66357458594331</v>
      </c>
    </row>
    <row r="444" spans="1:3" ht="12.75" customHeight="1" thickBot="1" x14ac:dyDescent="0.3">
      <c r="A444" s="10">
        <v>42.430980509999998</v>
      </c>
      <c r="B444" s="5">
        <f t="shared" si="13"/>
        <v>4.7119256774618421</v>
      </c>
      <c r="C444" s="5">
        <f t="shared" si="12"/>
        <v>22.20224358992424</v>
      </c>
    </row>
    <row r="445" spans="1:3" ht="12.75" customHeight="1" thickBot="1" x14ac:dyDescent="0.3">
      <c r="A445" s="10">
        <v>10</v>
      </c>
      <c r="B445" s="5">
        <f t="shared" si="13"/>
        <v>27.719054832538156</v>
      </c>
      <c r="C445" s="5">
        <f t="shared" si="12"/>
        <v>768.34600080925691</v>
      </c>
    </row>
    <row r="446" spans="1:3" ht="12.75" customHeight="1" thickBot="1" x14ac:dyDescent="0.3">
      <c r="A446" s="10">
        <v>59.019403930000003</v>
      </c>
      <c r="B446" s="5">
        <f t="shared" si="13"/>
        <v>21.300349097461847</v>
      </c>
      <c r="C446" s="5">
        <f t="shared" si="12"/>
        <v>453.70487167374375</v>
      </c>
    </row>
    <row r="447" spans="1:3" ht="12.75" customHeight="1" thickBot="1" x14ac:dyDescent="0.3">
      <c r="A447" s="10">
        <v>28.714884739999999</v>
      </c>
      <c r="B447" s="5">
        <f t="shared" si="13"/>
        <v>9.0041700925381569</v>
      </c>
      <c r="C447" s="5">
        <f t="shared" si="12"/>
        <v>81.0750790553586</v>
      </c>
    </row>
    <row r="448" spans="1:3" ht="12.75" customHeight="1" thickBot="1" x14ac:dyDescent="0.3">
      <c r="A448" s="10">
        <v>25.513929560000001</v>
      </c>
      <c r="B448" s="5">
        <f t="shared" si="13"/>
        <v>12.205125272538154</v>
      </c>
      <c r="C448" s="5">
        <f t="shared" si="12"/>
        <v>148.96508291834957</v>
      </c>
    </row>
    <row r="449" spans="1:3" ht="12.75" customHeight="1" thickBot="1" x14ac:dyDescent="0.3">
      <c r="A449" s="10">
        <v>26.780251929999999</v>
      </c>
      <c r="B449" s="5">
        <f t="shared" si="13"/>
        <v>10.938802902538157</v>
      </c>
      <c r="C449" s="5">
        <f t="shared" si="12"/>
        <v>119.65740894057721</v>
      </c>
    </row>
    <row r="450" spans="1:3" ht="12.75" customHeight="1" thickBot="1" x14ac:dyDescent="0.3">
      <c r="A450" s="10">
        <v>37.438479999999998</v>
      </c>
      <c r="B450" s="5">
        <f t="shared" si="13"/>
        <v>0.28057483253815718</v>
      </c>
      <c r="C450" s="5">
        <f t="shared" si="12"/>
        <v>7.8722236653814948E-2</v>
      </c>
    </row>
    <row r="451" spans="1:3" ht="12.75" customHeight="1" thickBot="1" x14ac:dyDescent="0.3">
      <c r="A451" s="10">
        <v>44.279281679999997</v>
      </c>
      <c r="B451" s="5">
        <f t="shared" si="13"/>
        <v>6.5602268474618413</v>
      </c>
      <c r="C451" s="5">
        <f t="shared" ref="C451:C514" si="14">POWER(B451,2)</f>
        <v>43.036576290159125</v>
      </c>
    </row>
    <row r="452" spans="1:3" ht="12.75" customHeight="1" thickBot="1" x14ac:dyDescent="0.3">
      <c r="A452" s="10">
        <v>48.852469050000003</v>
      </c>
      <c r="B452" s="5">
        <f t="shared" si="13"/>
        <v>11.133414217461848</v>
      </c>
      <c r="C452" s="5">
        <f t="shared" si="14"/>
        <v>123.95291213758161</v>
      </c>
    </row>
    <row r="453" spans="1:3" ht="12.75" customHeight="1" thickBot="1" x14ac:dyDescent="0.3">
      <c r="A453" s="10">
        <v>61.982943489999997</v>
      </c>
      <c r="B453" s="5">
        <f t="shared" si="13"/>
        <v>24.263888657461841</v>
      </c>
      <c r="C453" s="5">
        <f t="shared" si="14"/>
        <v>588.7362927817054</v>
      </c>
    </row>
    <row r="454" spans="1:3" ht="12.75" customHeight="1" thickBot="1" x14ac:dyDescent="0.3">
      <c r="A454" s="10">
        <v>60.625309309999999</v>
      </c>
      <c r="B454" s="5">
        <f t="shared" si="13"/>
        <v>22.906254477461843</v>
      </c>
      <c r="C454" s="5">
        <f t="shared" si="14"/>
        <v>524.69649418624078</v>
      </c>
    </row>
    <row r="455" spans="1:3" ht="12.75" customHeight="1" thickBot="1" x14ac:dyDescent="0.3">
      <c r="A455" s="10">
        <v>16.234567559999999</v>
      </c>
      <c r="B455" s="5">
        <f t="shared" si="13"/>
        <v>21.484487272538157</v>
      </c>
      <c r="C455" s="5">
        <f t="shared" si="14"/>
        <v>461.58319336385404</v>
      </c>
    </row>
    <row r="456" spans="1:3" ht="12.75" customHeight="1" thickBot="1" x14ac:dyDescent="0.3">
      <c r="A456" s="10">
        <v>24.859635489999999</v>
      </c>
      <c r="B456" s="5">
        <f t="shared" si="13"/>
        <v>12.859419342538157</v>
      </c>
      <c r="C456" s="5">
        <f t="shared" si="14"/>
        <v>165.36466582724449</v>
      </c>
    </row>
    <row r="457" spans="1:3" ht="12.75" customHeight="1" thickBot="1" x14ac:dyDescent="0.3">
      <c r="A457" s="10">
        <v>63.112337140000001</v>
      </c>
      <c r="B457" s="5">
        <f t="shared" ref="B457:B520" si="15">ABS(A457-$E$2)</f>
        <v>25.393282307461845</v>
      </c>
      <c r="C457" s="5">
        <f t="shared" si="14"/>
        <v>644.81878634645477</v>
      </c>
    </row>
    <row r="458" spans="1:3" ht="12.75" customHeight="1" thickBot="1" x14ac:dyDescent="0.3">
      <c r="A458" s="10">
        <v>60.993188289999999</v>
      </c>
      <c r="B458" s="5">
        <f t="shared" si="15"/>
        <v>23.274133457461843</v>
      </c>
      <c r="C458" s="5">
        <f t="shared" si="14"/>
        <v>541.68528819574476</v>
      </c>
    </row>
    <row r="459" spans="1:3" ht="12.75" customHeight="1" thickBot="1" x14ac:dyDescent="0.3">
      <c r="A459" s="10">
        <v>18.244070310000001</v>
      </c>
      <c r="B459" s="5">
        <f t="shared" si="15"/>
        <v>19.474984522538154</v>
      </c>
      <c r="C459" s="5">
        <f t="shared" si="14"/>
        <v>379.27502215310068</v>
      </c>
    </row>
    <row r="460" spans="1:3" ht="12.75" customHeight="1" thickBot="1" x14ac:dyDescent="0.3">
      <c r="A460" s="10">
        <v>14.46196089</v>
      </c>
      <c r="B460" s="5">
        <f t="shared" si="15"/>
        <v>23.257093942538155</v>
      </c>
      <c r="C460" s="5">
        <f t="shared" si="14"/>
        <v>540.89241865204497</v>
      </c>
    </row>
    <row r="461" spans="1:3" ht="12.75" customHeight="1" thickBot="1" x14ac:dyDescent="0.3">
      <c r="A461" s="10">
        <v>40.946369339999997</v>
      </c>
      <c r="B461" s="5">
        <f t="shared" si="15"/>
        <v>3.2273145074618412</v>
      </c>
      <c r="C461" s="5">
        <f t="shared" si="14"/>
        <v>10.415558930073667</v>
      </c>
    </row>
    <row r="462" spans="1:3" ht="12.75" customHeight="1" thickBot="1" x14ac:dyDescent="0.3">
      <c r="A462" s="10">
        <v>31.926563130000002</v>
      </c>
      <c r="B462" s="5">
        <f t="shared" si="15"/>
        <v>5.7924917025381539</v>
      </c>
      <c r="C462" s="5">
        <f t="shared" si="14"/>
        <v>33.552960123973364</v>
      </c>
    </row>
    <row r="463" spans="1:3" ht="12.75" customHeight="1" thickBot="1" x14ac:dyDescent="0.3">
      <c r="A463" s="10">
        <v>41.305404629999998</v>
      </c>
      <c r="B463" s="5">
        <f t="shared" si="15"/>
        <v>3.5863497974618426</v>
      </c>
      <c r="C463" s="5">
        <f t="shared" si="14"/>
        <v>12.8619048697546</v>
      </c>
    </row>
    <row r="464" spans="1:3" ht="12.75" customHeight="1" thickBot="1" x14ac:dyDescent="0.3">
      <c r="A464" s="10">
        <v>50.072632740000003</v>
      </c>
      <c r="B464" s="5">
        <f t="shared" si="15"/>
        <v>12.353577907461847</v>
      </c>
      <c r="C464" s="5">
        <f t="shared" si="14"/>
        <v>152.61088711572944</v>
      </c>
    </row>
    <row r="465" spans="1:3" ht="12.75" customHeight="1" thickBot="1" x14ac:dyDescent="0.3">
      <c r="A465" s="10">
        <v>52.924560880000001</v>
      </c>
      <c r="B465" s="5">
        <f t="shared" si="15"/>
        <v>15.205506047461846</v>
      </c>
      <c r="C465" s="5">
        <f t="shared" si="14"/>
        <v>231.20741415939875</v>
      </c>
    </row>
    <row r="466" spans="1:3" ht="12.75" customHeight="1" thickBot="1" x14ac:dyDescent="0.3">
      <c r="A466" s="10">
        <v>35.415597759999997</v>
      </c>
      <c r="B466" s="5">
        <f t="shared" si="15"/>
        <v>2.3034570725381585</v>
      </c>
      <c r="C466" s="5">
        <f t="shared" si="14"/>
        <v>5.3059144850260633</v>
      </c>
    </row>
    <row r="467" spans="1:3" ht="12.75" customHeight="1" thickBot="1" x14ac:dyDescent="0.3">
      <c r="A467" s="10">
        <v>46.760327850000003</v>
      </c>
      <c r="B467" s="5">
        <f t="shared" si="15"/>
        <v>9.0412730174618474</v>
      </c>
      <c r="C467" s="5">
        <f t="shared" si="14"/>
        <v>81.744617776283661</v>
      </c>
    </row>
    <row r="468" spans="1:3" ht="12.75" customHeight="1" thickBot="1" x14ac:dyDescent="0.3">
      <c r="A468" s="10">
        <v>46.97806044</v>
      </c>
      <c r="B468" s="5">
        <f t="shared" si="15"/>
        <v>9.2590056074618445</v>
      </c>
      <c r="C468" s="5">
        <f t="shared" si="14"/>
        <v>85.729184839009875</v>
      </c>
    </row>
    <row r="469" spans="1:3" ht="12.75" customHeight="1" thickBot="1" x14ac:dyDescent="0.3">
      <c r="A469" s="10">
        <v>48.208577419999997</v>
      </c>
      <c r="B469" s="5">
        <f t="shared" si="15"/>
        <v>10.489522587461842</v>
      </c>
      <c r="C469" s="5">
        <f t="shared" si="14"/>
        <v>110.03008411287217</v>
      </c>
    </row>
    <row r="470" spans="1:3" ht="12.75" customHeight="1" thickBot="1" x14ac:dyDescent="0.3">
      <c r="A470" s="10">
        <v>48.364071840000001</v>
      </c>
      <c r="B470" s="5">
        <f t="shared" si="15"/>
        <v>10.645017007461846</v>
      </c>
      <c r="C470" s="5">
        <f t="shared" si="14"/>
        <v>113.31638708915195</v>
      </c>
    </row>
    <row r="471" spans="1:3" ht="12.75" customHeight="1" thickBot="1" x14ac:dyDescent="0.3">
      <c r="A471" s="10">
        <v>22.30956561</v>
      </c>
      <c r="B471" s="5">
        <f t="shared" si="15"/>
        <v>15.409489222538156</v>
      </c>
      <c r="C471" s="5">
        <f t="shared" si="14"/>
        <v>237.45235809951959</v>
      </c>
    </row>
    <row r="472" spans="1:3" ht="12.75" customHeight="1" thickBot="1" x14ac:dyDescent="0.3">
      <c r="A472" s="10">
        <v>60.604953829999999</v>
      </c>
      <c r="B472" s="5">
        <f t="shared" si="15"/>
        <v>22.885898997461844</v>
      </c>
      <c r="C472" s="5">
        <f t="shared" si="14"/>
        <v>523.76437292202502</v>
      </c>
    </row>
    <row r="473" spans="1:3" ht="12.75" customHeight="1" thickBot="1" x14ac:dyDescent="0.3">
      <c r="A473" s="10">
        <v>16.72102885</v>
      </c>
      <c r="B473" s="5">
        <f t="shared" si="15"/>
        <v>20.998025982538156</v>
      </c>
      <c r="C473" s="5">
        <f t="shared" si="14"/>
        <v>440.91709516334748</v>
      </c>
    </row>
    <row r="474" spans="1:3" ht="12.75" customHeight="1" thickBot="1" x14ac:dyDescent="0.3">
      <c r="A474" s="10">
        <v>65.380679580000006</v>
      </c>
      <c r="B474" s="5">
        <f t="shared" si="15"/>
        <v>27.66162474746185</v>
      </c>
      <c r="C474" s="5">
        <f t="shared" si="14"/>
        <v>765.16548366939389</v>
      </c>
    </row>
    <row r="475" spans="1:3" ht="12.75" customHeight="1" thickBot="1" x14ac:dyDescent="0.3">
      <c r="A475" s="10">
        <v>55.803620410000001</v>
      </c>
      <c r="B475" s="5">
        <f t="shared" si="15"/>
        <v>18.084565577461845</v>
      </c>
      <c r="C475" s="5">
        <f t="shared" si="14"/>
        <v>327.05151212551789</v>
      </c>
    </row>
    <row r="476" spans="1:3" ht="12.75" customHeight="1" thickBot="1" x14ac:dyDescent="0.3">
      <c r="A476" s="10">
        <v>49.964297770000002</v>
      </c>
      <c r="B476" s="5">
        <f t="shared" si="15"/>
        <v>12.245242937461846</v>
      </c>
      <c r="C476" s="5">
        <f t="shared" si="14"/>
        <v>149.94597459745921</v>
      </c>
    </row>
    <row r="477" spans="1:3" ht="12.75" customHeight="1" thickBot="1" x14ac:dyDescent="0.3">
      <c r="A477" s="10">
        <v>44.144590350000001</v>
      </c>
      <c r="B477" s="5">
        <f t="shared" si="15"/>
        <v>6.4255355174618458</v>
      </c>
      <c r="C477" s="5">
        <f t="shared" si="14"/>
        <v>41.287506686163674</v>
      </c>
    </row>
    <row r="478" spans="1:3" ht="12.75" customHeight="1" thickBot="1" x14ac:dyDescent="0.3">
      <c r="A478" s="10">
        <v>36.007613800000001</v>
      </c>
      <c r="B478" s="5">
        <f t="shared" si="15"/>
        <v>1.7114410325381542</v>
      </c>
      <c r="C478" s="5">
        <f t="shared" si="14"/>
        <v>2.9290304078552634</v>
      </c>
    </row>
    <row r="479" spans="1:3" ht="12.75" customHeight="1" thickBot="1" x14ac:dyDescent="0.3">
      <c r="A479" s="10">
        <v>22.390150550000001</v>
      </c>
      <c r="B479" s="5">
        <f t="shared" si="15"/>
        <v>15.328904282538154</v>
      </c>
      <c r="C479" s="5">
        <f t="shared" si="14"/>
        <v>234.97530650321656</v>
      </c>
    </row>
    <row r="480" spans="1:3" ht="12.75" customHeight="1" thickBot="1" x14ac:dyDescent="0.3">
      <c r="A480" s="10">
        <v>12.083710890000001</v>
      </c>
      <c r="B480" s="5">
        <f t="shared" si="15"/>
        <v>25.635343942538157</v>
      </c>
      <c r="C480" s="5">
        <f t="shared" si="14"/>
        <v>657.1708590522278</v>
      </c>
    </row>
    <row r="481" spans="1:3" ht="12.75" customHeight="1" thickBot="1" x14ac:dyDescent="0.3">
      <c r="A481" s="10">
        <v>56.466762639999999</v>
      </c>
      <c r="B481" s="5">
        <f t="shared" si="15"/>
        <v>18.747707807461843</v>
      </c>
      <c r="C481" s="5">
        <f t="shared" si="14"/>
        <v>351.47654803396574</v>
      </c>
    </row>
    <row r="482" spans="1:3" ht="12.75" customHeight="1" thickBot="1" x14ac:dyDescent="0.3">
      <c r="A482" s="10">
        <v>50.665463440000003</v>
      </c>
      <c r="B482" s="5">
        <f t="shared" si="15"/>
        <v>12.946408607461848</v>
      </c>
      <c r="C482" s="5">
        <f t="shared" si="14"/>
        <v>167.60949583136221</v>
      </c>
    </row>
    <row r="483" spans="1:3" ht="12.75" customHeight="1" thickBot="1" x14ac:dyDescent="0.3">
      <c r="A483" s="10">
        <v>48.121174279999998</v>
      </c>
      <c r="B483" s="5">
        <f t="shared" si="15"/>
        <v>10.402119447461843</v>
      </c>
      <c r="C483" s="5">
        <f t="shared" si="14"/>
        <v>108.20408899926387</v>
      </c>
    </row>
    <row r="484" spans="1:3" ht="12.75" customHeight="1" thickBot="1" x14ac:dyDescent="0.3">
      <c r="A484" s="10">
        <v>40.866128119999999</v>
      </c>
      <c r="B484" s="5">
        <f t="shared" si="15"/>
        <v>3.1470732874618434</v>
      </c>
      <c r="C484" s="5">
        <f t="shared" si="14"/>
        <v>9.9040702766558955</v>
      </c>
    </row>
    <row r="485" spans="1:3" ht="12.75" customHeight="1" thickBot="1" x14ac:dyDescent="0.3">
      <c r="A485" s="10">
        <v>48.40714053</v>
      </c>
      <c r="B485" s="5">
        <f t="shared" si="15"/>
        <v>10.688085697461844</v>
      </c>
      <c r="C485" s="5">
        <f t="shared" si="14"/>
        <v>114.23517587628842</v>
      </c>
    </row>
    <row r="486" spans="1:3" ht="12.75" customHeight="1" thickBot="1" x14ac:dyDescent="0.3">
      <c r="A486" s="10">
        <v>18.135927550000002</v>
      </c>
      <c r="B486" s="5">
        <f t="shared" si="15"/>
        <v>19.583127282538154</v>
      </c>
      <c r="C486" s="5">
        <f t="shared" si="14"/>
        <v>383.49887416409018</v>
      </c>
    </row>
    <row r="487" spans="1:3" ht="12.75" customHeight="1" thickBot="1" x14ac:dyDescent="0.3">
      <c r="A487" s="10">
        <v>60.018272009999997</v>
      </c>
      <c r="B487" s="5">
        <f t="shared" si="15"/>
        <v>22.299217177461841</v>
      </c>
      <c r="C487" s="5">
        <f t="shared" si="14"/>
        <v>497.25508672760924</v>
      </c>
    </row>
    <row r="488" spans="1:3" ht="12.75" customHeight="1" thickBot="1" x14ac:dyDescent="0.3">
      <c r="A488" s="10">
        <v>25.310389780000001</v>
      </c>
      <c r="B488" s="5">
        <f t="shared" si="15"/>
        <v>12.408665052538154</v>
      </c>
      <c r="C488" s="5">
        <f t="shared" si="14"/>
        <v>153.97496838608171</v>
      </c>
    </row>
    <row r="489" spans="1:3" ht="12.75" customHeight="1" thickBot="1" x14ac:dyDescent="0.3">
      <c r="A489" s="10">
        <v>52.870111219999998</v>
      </c>
      <c r="B489" s="5">
        <f t="shared" si="15"/>
        <v>15.151056387461843</v>
      </c>
      <c r="C489" s="5">
        <f t="shared" si="14"/>
        <v>229.55450965604831</v>
      </c>
    </row>
    <row r="490" spans="1:3" ht="12.75" customHeight="1" thickBot="1" x14ac:dyDescent="0.3">
      <c r="A490" s="10">
        <v>28.206624529999999</v>
      </c>
      <c r="B490" s="5">
        <f t="shared" si="15"/>
        <v>9.5124303025381565</v>
      </c>
      <c r="C490" s="5">
        <f t="shared" si="14"/>
        <v>90.486330260646156</v>
      </c>
    </row>
    <row r="491" spans="1:3" ht="12.75" customHeight="1" thickBot="1" x14ac:dyDescent="0.3">
      <c r="A491" s="10">
        <v>19.712640369999999</v>
      </c>
      <c r="B491" s="5">
        <f t="shared" si="15"/>
        <v>18.006414462538157</v>
      </c>
      <c r="C491" s="5">
        <f t="shared" si="14"/>
        <v>324.2309617967033</v>
      </c>
    </row>
    <row r="492" spans="1:3" ht="12.75" customHeight="1" thickBot="1" x14ac:dyDescent="0.3">
      <c r="A492" s="10">
        <v>57.506650999999998</v>
      </c>
      <c r="B492" s="5">
        <f t="shared" si="15"/>
        <v>19.787596167461842</v>
      </c>
      <c r="C492" s="5">
        <f t="shared" si="14"/>
        <v>391.5489620865506</v>
      </c>
    </row>
    <row r="493" spans="1:3" ht="12.75" customHeight="1" thickBot="1" x14ac:dyDescent="0.3">
      <c r="A493" s="10">
        <v>36.933102480000002</v>
      </c>
      <c r="B493" s="5">
        <f t="shared" si="15"/>
        <v>0.78595235253815332</v>
      </c>
      <c r="C493" s="5">
        <f t="shared" si="14"/>
        <v>0.61772110046025763</v>
      </c>
    </row>
    <row r="494" spans="1:3" ht="12.75" customHeight="1" thickBot="1" x14ac:dyDescent="0.3">
      <c r="A494" s="10">
        <v>46.177058610000003</v>
      </c>
      <c r="B494" s="5">
        <f t="shared" si="15"/>
        <v>8.4580037774618475</v>
      </c>
      <c r="C494" s="5">
        <f t="shared" si="14"/>
        <v>71.537827899558877</v>
      </c>
    </row>
    <row r="495" spans="1:3" ht="12.75" customHeight="1" thickBot="1" x14ac:dyDescent="0.3">
      <c r="A495" s="10">
        <v>53.377690100000002</v>
      </c>
      <c r="B495" s="5">
        <f t="shared" si="15"/>
        <v>15.658635267461847</v>
      </c>
      <c r="C495" s="5">
        <f t="shared" si="14"/>
        <v>245.19285843939994</v>
      </c>
    </row>
    <row r="496" spans="1:3" ht="12.75" customHeight="1" thickBot="1" x14ac:dyDescent="0.3">
      <c r="A496" s="10">
        <v>46.936520350000002</v>
      </c>
      <c r="B496" s="5">
        <f t="shared" si="15"/>
        <v>9.2174655174618465</v>
      </c>
      <c r="C496" s="5">
        <f t="shared" si="14"/>
        <v>84.961670565598183</v>
      </c>
    </row>
    <row r="497" spans="1:3" ht="12.75" customHeight="1" thickBot="1" x14ac:dyDescent="0.3">
      <c r="A497" s="10">
        <v>50.123249880000003</v>
      </c>
      <c r="B497" s="5">
        <f t="shared" si="15"/>
        <v>12.404195047461847</v>
      </c>
      <c r="C497" s="5">
        <f t="shared" si="14"/>
        <v>153.86405477547703</v>
      </c>
    </row>
    <row r="498" spans="1:3" ht="12.75" customHeight="1" thickBot="1" x14ac:dyDescent="0.3">
      <c r="A498" s="10">
        <v>49.113217669999997</v>
      </c>
      <c r="B498" s="5">
        <f t="shared" si="15"/>
        <v>11.394162837461842</v>
      </c>
      <c r="C498" s="5">
        <f t="shared" si="14"/>
        <v>129.82694676659648</v>
      </c>
    </row>
    <row r="499" spans="1:3" ht="12.75" customHeight="1" thickBot="1" x14ac:dyDescent="0.3">
      <c r="A499" s="10">
        <v>47.381748860000002</v>
      </c>
      <c r="B499" s="5">
        <f t="shared" si="15"/>
        <v>9.6626940274618462</v>
      </c>
      <c r="C499" s="5">
        <f t="shared" si="14"/>
        <v>93.36765586834683</v>
      </c>
    </row>
    <row r="500" spans="1:3" ht="12.75" customHeight="1" thickBot="1" x14ac:dyDescent="0.3">
      <c r="A500" s="10">
        <v>37.817185160000001</v>
      </c>
      <c r="B500" s="5">
        <f t="shared" si="15"/>
        <v>9.8130327461845468E-2</v>
      </c>
      <c r="C500" s="5">
        <f t="shared" si="14"/>
        <v>9.6295611677690227E-3</v>
      </c>
    </row>
    <row r="501" spans="1:3" ht="12.75" customHeight="1" thickBot="1" x14ac:dyDescent="0.3">
      <c r="A501" s="10">
        <v>42.330019989999997</v>
      </c>
      <c r="B501" s="5">
        <f t="shared" si="15"/>
        <v>4.6109651574618411</v>
      </c>
      <c r="C501" s="5">
        <f t="shared" si="14"/>
        <v>21.2609996833271</v>
      </c>
    </row>
    <row r="502" spans="1:3" ht="12.75" customHeight="1" thickBot="1" x14ac:dyDescent="0.3">
      <c r="A502" s="10">
        <v>53.1656567</v>
      </c>
      <c r="B502" s="5">
        <f t="shared" si="15"/>
        <v>15.446601867461844</v>
      </c>
      <c r="C502" s="5">
        <f t="shared" si="14"/>
        <v>238.59750925187572</v>
      </c>
    </row>
    <row r="503" spans="1:3" ht="12.75" customHeight="1" thickBot="1" x14ac:dyDescent="0.3">
      <c r="A503" s="10">
        <v>44.074328180000002</v>
      </c>
      <c r="B503" s="5">
        <f t="shared" si="15"/>
        <v>6.3552733474618464</v>
      </c>
      <c r="C503" s="5">
        <f t="shared" si="14"/>
        <v>40.389499320958905</v>
      </c>
    </row>
    <row r="504" spans="1:3" ht="12.75" customHeight="1" thickBot="1" x14ac:dyDescent="0.3">
      <c r="A504" s="10">
        <v>25.39633525</v>
      </c>
      <c r="B504" s="5">
        <f t="shared" si="15"/>
        <v>12.322719582538156</v>
      </c>
      <c r="C504" s="5">
        <f t="shared" si="14"/>
        <v>151.84941790986935</v>
      </c>
    </row>
    <row r="505" spans="1:3" ht="12.75" customHeight="1" thickBot="1" x14ac:dyDescent="0.3">
      <c r="A505" s="10">
        <v>42.517538629999997</v>
      </c>
      <c r="B505" s="5">
        <f t="shared" si="15"/>
        <v>4.7984837974618415</v>
      </c>
      <c r="C505" s="5">
        <f t="shared" si="14"/>
        <v>23.025446754503815</v>
      </c>
    </row>
    <row r="506" spans="1:3" ht="12.75" customHeight="1" thickBot="1" x14ac:dyDescent="0.3">
      <c r="A506" s="10">
        <v>11.74494404</v>
      </c>
      <c r="B506" s="5">
        <f t="shared" si="15"/>
        <v>25.974110792538156</v>
      </c>
      <c r="C506" s="5">
        <f t="shared" si="14"/>
        <v>674.6544314630471</v>
      </c>
    </row>
    <row r="507" spans="1:3" ht="12.75" customHeight="1" thickBot="1" x14ac:dyDescent="0.3">
      <c r="A507" s="10">
        <v>25.085670780000001</v>
      </c>
      <c r="B507" s="5">
        <f t="shared" si="15"/>
        <v>12.633384052538155</v>
      </c>
      <c r="C507" s="5">
        <f t="shared" si="14"/>
        <v>159.60239261892536</v>
      </c>
    </row>
    <row r="508" spans="1:3" ht="12.75" customHeight="1" thickBot="1" x14ac:dyDescent="0.3">
      <c r="A508" s="10">
        <v>14.945511740000001</v>
      </c>
      <c r="B508" s="5">
        <f t="shared" si="15"/>
        <v>22.773543092538155</v>
      </c>
      <c r="C508" s="5">
        <f t="shared" si="14"/>
        <v>518.63426498769229</v>
      </c>
    </row>
    <row r="509" spans="1:3" ht="12.75" customHeight="1" thickBot="1" x14ac:dyDescent="0.3">
      <c r="A509" s="10">
        <v>53.547199599999999</v>
      </c>
      <c r="B509" s="5">
        <f t="shared" si="15"/>
        <v>15.828144767461843</v>
      </c>
      <c r="C509" s="5">
        <f t="shared" si="14"/>
        <v>250.53016677972974</v>
      </c>
    </row>
    <row r="510" spans="1:3" ht="12.75" customHeight="1" thickBot="1" x14ac:dyDescent="0.3">
      <c r="A510" s="10">
        <v>46.522260750000001</v>
      </c>
      <c r="B510" s="5">
        <f t="shared" si="15"/>
        <v>8.8032059174618453</v>
      </c>
      <c r="C510" s="5">
        <f t="shared" si="14"/>
        <v>77.49643442523525</v>
      </c>
    </row>
    <row r="511" spans="1:3" ht="12.75" customHeight="1" thickBot="1" x14ac:dyDescent="0.3">
      <c r="A511" s="10">
        <v>47.194596570000002</v>
      </c>
      <c r="B511" s="5">
        <f t="shared" si="15"/>
        <v>9.475541737461846</v>
      </c>
      <c r="C511" s="5">
        <f t="shared" si="14"/>
        <v>89.785891218381465</v>
      </c>
    </row>
    <row r="512" spans="1:3" ht="12.75" customHeight="1" thickBot="1" x14ac:dyDescent="0.3">
      <c r="A512" s="10">
        <v>58.757892869999999</v>
      </c>
      <c r="B512" s="5">
        <f t="shared" si="15"/>
        <v>21.038838037461844</v>
      </c>
      <c r="C512" s="5">
        <f t="shared" si="14"/>
        <v>442.63270596655133</v>
      </c>
    </row>
    <row r="513" spans="1:3" ht="12.75" customHeight="1" thickBot="1" x14ac:dyDescent="0.3">
      <c r="A513" s="10">
        <v>50.469994509999999</v>
      </c>
      <c r="B513" s="5">
        <f t="shared" si="15"/>
        <v>12.750939677461844</v>
      </c>
      <c r="C513" s="5">
        <f t="shared" si="14"/>
        <v>162.58646265827076</v>
      </c>
    </row>
    <row r="514" spans="1:3" ht="12.75" customHeight="1" thickBot="1" x14ac:dyDescent="0.3">
      <c r="A514" s="10">
        <v>20.574640509999998</v>
      </c>
      <c r="B514" s="5">
        <f t="shared" si="15"/>
        <v>17.144414322538157</v>
      </c>
      <c r="C514" s="5">
        <f t="shared" si="14"/>
        <v>293.93094246285148</v>
      </c>
    </row>
    <row r="515" spans="1:3" ht="12.75" customHeight="1" thickBot="1" x14ac:dyDescent="0.3">
      <c r="A515" s="10">
        <v>43.719023589999999</v>
      </c>
      <c r="B515" s="5">
        <f t="shared" si="15"/>
        <v>5.9999687574618434</v>
      </c>
      <c r="C515" s="5">
        <f t="shared" ref="C515:C578" si="16">POWER(B515,2)</f>
        <v>35.999625090518215</v>
      </c>
    </row>
    <row r="516" spans="1:3" ht="12.75" customHeight="1" thickBot="1" x14ac:dyDescent="0.3">
      <c r="A516" s="10">
        <v>24.617304440000002</v>
      </c>
      <c r="B516" s="5">
        <f t="shared" si="15"/>
        <v>13.101750392538154</v>
      </c>
      <c r="C516" s="5">
        <f t="shared" si="16"/>
        <v>171.65586334837369</v>
      </c>
    </row>
    <row r="517" spans="1:3" ht="12.75" customHeight="1" thickBot="1" x14ac:dyDescent="0.3">
      <c r="A517" s="10">
        <v>44.785524619999997</v>
      </c>
      <c r="B517" s="5">
        <f t="shared" si="15"/>
        <v>7.0664697874618412</v>
      </c>
      <c r="C517" s="5">
        <f t="shared" si="16"/>
        <v>49.934995257110998</v>
      </c>
    </row>
    <row r="518" spans="1:3" ht="12.75" customHeight="1" thickBot="1" x14ac:dyDescent="0.3">
      <c r="A518" s="10">
        <v>40.21638153</v>
      </c>
      <c r="B518" s="5">
        <f t="shared" si="15"/>
        <v>2.497326697461844</v>
      </c>
      <c r="C518" s="5">
        <f t="shared" si="16"/>
        <v>6.2366406338556803</v>
      </c>
    </row>
    <row r="519" spans="1:3" ht="12.75" customHeight="1" thickBot="1" x14ac:dyDescent="0.3">
      <c r="A519" s="10">
        <v>46.153712429999999</v>
      </c>
      <c r="B519" s="5">
        <f t="shared" si="15"/>
        <v>8.4346575974618432</v>
      </c>
      <c r="C519" s="5">
        <f t="shared" si="16"/>
        <v>71.143448786420791</v>
      </c>
    </row>
    <row r="520" spans="1:3" ht="12.75" customHeight="1" thickBot="1" x14ac:dyDescent="0.3">
      <c r="A520" s="10">
        <v>48.954394919999999</v>
      </c>
      <c r="B520" s="5">
        <f t="shared" si="15"/>
        <v>11.235340087461843</v>
      </c>
      <c r="C520" s="5">
        <f t="shared" si="16"/>
        <v>126.23286688092709</v>
      </c>
    </row>
    <row r="521" spans="1:3" ht="12.75" customHeight="1" thickBot="1" x14ac:dyDescent="0.3">
      <c r="A521" s="10">
        <v>46.394070560000003</v>
      </c>
      <c r="B521" s="5">
        <f t="shared" ref="B521:B584" si="17">ABS(A521-$E$2)</f>
        <v>8.6750157274618473</v>
      </c>
      <c r="C521" s="5">
        <f t="shared" si="16"/>
        <v>75.255897871710403</v>
      </c>
    </row>
    <row r="522" spans="1:3" ht="12.75" customHeight="1" thickBot="1" x14ac:dyDescent="0.3">
      <c r="A522" s="10">
        <v>18.102266019999998</v>
      </c>
      <c r="B522" s="5">
        <f t="shared" si="17"/>
        <v>19.616788812538157</v>
      </c>
      <c r="C522" s="5">
        <f t="shared" si="16"/>
        <v>384.81840331572221</v>
      </c>
    </row>
    <row r="523" spans="1:3" ht="12.75" customHeight="1" thickBot="1" x14ac:dyDescent="0.3">
      <c r="A523" s="10">
        <v>44.046457859999997</v>
      </c>
      <c r="B523" s="5">
        <f t="shared" si="17"/>
        <v>6.3274030274618411</v>
      </c>
      <c r="C523" s="5">
        <f t="shared" si="16"/>
        <v>40.036029071933271</v>
      </c>
    </row>
    <row r="524" spans="1:3" ht="12.75" customHeight="1" thickBot="1" x14ac:dyDescent="0.3">
      <c r="A524" s="10">
        <v>23.983139380000001</v>
      </c>
      <c r="B524" s="5">
        <f t="shared" si="17"/>
        <v>13.735915452538155</v>
      </c>
      <c r="C524" s="5">
        <f t="shared" si="16"/>
        <v>188.67537331927647</v>
      </c>
    </row>
    <row r="525" spans="1:3" ht="12.75" customHeight="1" thickBot="1" x14ac:dyDescent="0.3">
      <c r="A525" s="10">
        <v>36.061430860000002</v>
      </c>
      <c r="B525" s="5">
        <f t="shared" si="17"/>
        <v>1.6576239725381541</v>
      </c>
      <c r="C525" s="5">
        <f t="shared" si="16"/>
        <v>2.7477172343331708</v>
      </c>
    </row>
    <row r="526" spans="1:3" ht="12.75" customHeight="1" thickBot="1" x14ac:dyDescent="0.3">
      <c r="A526" s="10">
        <v>43.609395919999997</v>
      </c>
      <c r="B526" s="5">
        <f t="shared" si="17"/>
        <v>5.8903410874618416</v>
      </c>
      <c r="C526" s="5">
        <f t="shared" si="16"/>
        <v>34.696118126641153</v>
      </c>
    </row>
    <row r="527" spans="1:3" ht="12.75" customHeight="1" thickBot="1" x14ac:dyDescent="0.3">
      <c r="A527" s="10">
        <v>56.016080520000003</v>
      </c>
      <c r="B527" s="5">
        <f t="shared" si="17"/>
        <v>18.297025687461847</v>
      </c>
      <c r="C527" s="5">
        <f t="shared" si="16"/>
        <v>334.7811490076387</v>
      </c>
    </row>
    <row r="528" spans="1:3" ht="12.75" customHeight="1" thickBot="1" x14ac:dyDescent="0.3">
      <c r="A528" s="10">
        <v>18.067584660000001</v>
      </c>
      <c r="B528" s="5">
        <f t="shared" si="17"/>
        <v>19.651470172538154</v>
      </c>
      <c r="C528" s="5">
        <f t="shared" si="16"/>
        <v>386.18027994215674</v>
      </c>
    </row>
    <row r="529" spans="1:3" ht="12.75" customHeight="1" thickBot="1" x14ac:dyDescent="0.3">
      <c r="A529" s="10">
        <v>40.879381960000003</v>
      </c>
      <c r="B529" s="5">
        <f t="shared" si="17"/>
        <v>3.1603271274618479</v>
      </c>
      <c r="C529" s="5">
        <f t="shared" si="16"/>
        <v>9.9876675525712546</v>
      </c>
    </row>
    <row r="530" spans="1:3" ht="12.75" customHeight="1" thickBot="1" x14ac:dyDescent="0.3">
      <c r="A530" s="10">
        <v>29.396766530000001</v>
      </c>
      <c r="B530" s="5">
        <f t="shared" si="17"/>
        <v>8.3222883025381549</v>
      </c>
      <c r="C530" s="5">
        <f t="shared" si="16"/>
        <v>69.260482590563399</v>
      </c>
    </row>
    <row r="531" spans="1:3" ht="12.75" customHeight="1" thickBot="1" x14ac:dyDescent="0.3">
      <c r="A531" s="10">
        <v>16.007734360000001</v>
      </c>
      <c r="B531" s="5">
        <f t="shared" si="17"/>
        <v>21.711320472538155</v>
      </c>
      <c r="C531" s="5">
        <f t="shared" si="16"/>
        <v>471.38143666125444</v>
      </c>
    </row>
    <row r="532" spans="1:3" ht="12.75" customHeight="1" thickBot="1" x14ac:dyDescent="0.3">
      <c r="A532" s="10">
        <v>17.135908019999999</v>
      </c>
      <c r="B532" s="5">
        <f t="shared" si="17"/>
        <v>20.583146812538157</v>
      </c>
      <c r="C532" s="5">
        <f t="shared" si="16"/>
        <v>423.66593270649969</v>
      </c>
    </row>
    <row r="533" spans="1:3" ht="12.75" customHeight="1" thickBot="1" x14ac:dyDescent="0.3">
      <c r="A533" s="10">
        <v>49.976027459999997</v>
      </c>
      <c r="B533" s="5">
        <f t="shared" si="17"/>
        <v>12.256972627461842</v>
      </c>
      <c r="C533" s="5">
        <f t="shared" si="16"/>
        <v>150.23337799034886</v>
      </c>
    </row>
    <row r="534" spans="1:3" ht="12.75" customHeight="1" thickBot="1" x14ac:dyDescent="0.3">
      <c r="A534" s="10">
        <v>40.157078069999997</v>
      </c>
      <c r="B534" s="5">
        <f t="shared" si="17"/>
        <v>2.4380232374618416</v>
      </c>
      <c r="C534" s="5">
        <f t="shared" si="16"/>
        <v>5.9439573064039193</v>
      </c>
    </row>
    <row r="535" spans="1:3" ht="12.75" customHeight="1" thickBot="1" x14ac:dyDescent="0.3">
      <c r="A535" s="10">
        <v>52.662915499999997</v>
      </c>
      <c r="B535" s="5">
        <f t="shared" si="17"/>
        <v>14.943860667461841</v>
      </c>
      <c r="C535" s="5">
        <f t="shared" si="16"/>
        <v>223.31897164851307</v>
      </c>
    </row>
    <row r="536" spans="1:3" ht="12.75" customHeight="1" thickBot="1" x14ac:dyDescent="0.3">
      <c r="A536" s="10">
        <v>12.75918661</v>
      </c>
      <c r="B536" s="5">
        <f t="shared" si="17"/>
        <v>24.959868222538155</v>
      </c>
      <c r="C536" s="5">
        <f t="shared" si="16"/>
        <v>622.99502168646995</v>
      </c>
    </row>
    <row r="537" spans="1:3" ht="12.75" customHeight="1" thickBot="1" x14ac:dyDescent="0.3">
      <c r="A537" s="10">
        <v>41.150888299999998</v>
      </c>
      <c r="B537" s="5">
        <f t="shared" si="17"/>
        <v>3.4318334674618427</v>
      </c>
      <c r="C537" s="5">
        <f t="shared" si="16"/>
        <v>11.777480948391174</v>
      </c>
    </row>
    <row r="538" spans="1:3" ht="12.75" customHeight="1" thickBot="1" x14ac:dyDescent="0.3">
      <c r="A538" s="10">
        <v>52.223430450000002</v>
      </c>
      <c r="B538" s="5">
        <f t="shared" si="17"/>
        <v>14.504375617461847</v>
      </c>
      <c r="C538" s="5">
        <f t="shared" si="16"/>
        <v>210.37691205242172</v>
      </c>
    </row>
    <row r="539" spans="1:3" ht="12.75" customHeight="1" thickBot="1" x14ac:dyDescent="0.3">
      <c r="A539" s="10">
        <v>51.54920053</v>
      </c>
      <c r="B539" s="5">
        <f t="shared" si="17"/>
        <v>13.830145697461845</v>
      </c>
      <c r="C539" s="5">
        <f t="shared" si="16"/>
        <v>191.27293001302237</v>
      </c>
    </row>
    <row r="540" spans="1:3" ht="12.75" customHeight="1" thickBot="1" x14ac:dyDescent="0.3">
      <c r="A540" s="10">
        <v>17.586335340000002</v>
      </c>
      <c r="B540" s="5">
        <f t="shared" si="17"/>
        <v>20.132719492538154</v>
      </c>
      <c r="C540" s="5">
        <f t="shared" si="16"/>
        <v>405.32639416522574</v>
      </c>
    </row>
    <row r="541" spans="1:3" ht="12.75" customHeight="1" thickBot="1" x14ac:dyDescent="0.3">
      <c r="A541" s="10">
        <v>47.094396060000001</v>
      </c>
      <c r="B541" s="5">
        <f t="shared" si="17"/>
        <v>9.3753412274618455</v>
      </c>
      <c r="C541" s="5">
        <f t="shared" si="16"/>
        <v>87.89702313134579</v>
      </c>
    </row>
    <row r="542" spans="1:3" ht="12.75" customHeight="1" thickBot="1" x14ac:dyDescent="0.3">
      <c r="A542" s="10">
        <v>48.284675380000003</v>
      </c>
      <c r="B542" s="5">
        <f t="shared" si="17"/>
        <v>10.565620547461847</v>
      </c>
      <c r="C542" s="5">
        <f t="shared" si="16"/>
        <v>111.63233755294799</v>
      </c>
    </row>
    <row r="543" spans="1:3" ht="12.75" customHeight="1" thickBot="1" x14ac:dyDescent="0.3">
      <c r="A543" s="10">
        <v>36.703881950000003</v>
      </c>
      <c r="B543" s="5">
        <f t="shared" si="17"/>
        <v>1.0151728825381525</v>
      </c>
      <c r="C543" s="5">
        <f t="shared" si="16"/>
        <v>1.0305759814408215</v>
      </c>
    </row>
    <row r="544" spans="1:3" ht="12.75" customHeight="1" thickBot="1" x14ac:dyDescent="0.3">
      <c r="A544" s="10">
        <v>43.438832050000002</v>
      </c>
      <c r="B544" s="5">
        <f t="shared" si="17"/>
        <v>5.7197772174618464</v>
      </c>
      <c r="C544" s="5">
        <f t="shared" si="16"/>
        <v>32.715851417395584</v>
      </c>
    </row>
    <row r="545" spans="1:3" ht="12.75" customHeight="1" thickBot="1" x14ac:dyDescent="0.3">
      <c r="A545" s="10">
        <v>50.800407389999997</v>
      </c>
      <c r="B545" s="5">
        <f t="shared" si="17"/>
        <v>13.081352557461841</v>
      </c>
      <c r="C545" s="5">
        <f t="shared" si="16"/>
        <v>171.12178473261343</v>
      </c>
    </row>
    <row r="546" spans="1:3" ht="12.75" customHeight="1" thickBot="1" x14ac:dyDescent="0.3">
      <c r="A546" s="10">
        <v>63.96324954</v>
      </c>
      <c r="B546" s="5">
        <f t="shared" si="17"/>
        <v>26.244194707461844</v>
      </c>
      <c r="C546" s="5">
        <f t="shared" si="16"/>
        <v>688.7577558431683</v>
      </c>
    </row>
    <row r="547" spans="1:3" ht="12.75" customHeight="1" thickBot="1" x14ac:dyDescent="0.3">
      <c r="A547" s="10">
        <v>12.025109499999999</v>
      </c>
      <c r="B547" s="5">
        <f t="shared" si="17"/>
        <v>25.693945332538156</v>
      </c>
      <c r="C547" s="5">
        <f t="shared" si="16"/>
        <v>660.17882675145927</v>
      </c>
    </row>
    <row r="548" spans="1:3" ht="12.75" customHeight="1" thickBot="1" x14ac:dyDescent="0.3">
      <c r="A548" s="10">
        <v>37.022044999999999</v>
      </c>
      <c r="B548" s="5">
        <f t="shared" si="17"/>
        <v>0.69700983253815707</v>
      </c>
      <c r="C548" s="5">
        <f t="shared" si="16"/>
        <v>0.48582270665486976</v>
      </c>
    </row>
    <row r="549" spans="1:3" ht="12.75" customHeight="1" thickBot="1" x14ac:dyDescent="0.3">
      <c r="A549" s="10">
        <v>54.087747399999998</v>
      </c>
      <c r="B549" s="5">
        <f t="shared" si="17"/>
        <v>16.368692567461842</v>
      </c>
      <c r="C549" s="5">
        <f t="shared" si="16"/>
        <v>267.93409636808053</v>
      </c>
    </row>
    <row r="550" spans="1:3" ht="12.75" customHeight="1" thickBot="1" x14ac:dyDescent="0.3">
      <c r="A550" s="10">
        <v>26.371587989999998</v>
      </c>
      <c r="B550" s="5">
        <f t="shared" si="17"/>
        <v>11.347466842538157</v>
      </c>
      <c r="C550" s="5">
        <f t="shared" si="16"/>
        <v>128.7650037425029</v>
      </c>
    </row>
    <row r="551" spans="1:3" ht="12.75" customHeight="1" thickBot="1" x14ac:dyDescent="0.3">
      <c r="A551" s="10">
        <v>49.219217729999997</v>
      </c>
      <c r="B551" s="5">
        <f t="shared" si="17"/>
        <v>11.500162897461841</v>
      </c>
      <c r="C551" s="5">
        <f t="shared" si="16"/>
        <v>132.25374666815793</v>
      </c>
    </row>
    <row r="552" spans="1:3" ht="12.75" customHeight="1" thickBot="1" x14ac:dyDescent="0.3">
      <c r="A552" s="10">
        <v>12.412635330000001</v>
      </c>
      <c r="B552" s="5">
        <f t="shared" si="17"/>
        <v>25.306419502538155</v>
      </c>
      <c r="C552" s="5">
        <f t="shared" si="16"/>
        <v>640.4148680384435</v>
      </c>
    </row>
    <row r="553" spans="1:3" ht="12.75" customHeight="1" thickBot="1" x14ac:dyDescent="0.3">
      <c r="A553" s="10">
        <v>51.262412410000003</v>
      </c>
      <c r="B553" s="5">
        <f t="shared" si="17"/>
        <v>13.543357577461848</v>
      </c>
      <c r="C553" s="5">
        <f t="shared" si="16"/>
        <v>183.42253447099324</v>
      </c>
    </row>
    <row r="554" spans="1:3" ht="12.75" customHeight="1" thickBot="1" x14ac:dyDescent="0.3">
      <c r="A554" s="10">
        <v>60.46770137</v>
      </c>
      <c r="B554" s="5">
        <f t="shared" si="17"/>
        <v>22.748646537461845</v>
      </c>
      <c r="C554" s="5">
        <f t="shared" si="16"/>
        <v>517.50091928637482</v>
      </c>
    </row>
    <row r="555" spans="1:3" ht="12.75" customHeight="1" thickBot="1" x14ac:dyDescent="0.3">
      <c r="A555" s="10">
        <v>13.743736070000001</v>
      </c>
      <c r="B555" s="5">
        <f t="shared" si="17"/>
        <v>23.975318762538155</v>
      </c>
      <c r="C555" s="5">
        <f t="shared" si="16"/>
        <v>574.81590976531413</v>
      </c>
    </row>
    <row r="556" spans="1:3" ht="12.75" customHeight="1" thickBot="1" x14ac:dyDescent="0.3">
      <c r="A556" s="10">
        <v>47.244056409999999</v>
      </c>
      <c r="B556" s="5">
        <f t="shared" si="17"/>
        <v>9.5250015774618433</v>
      </c>
      <c r="C556" s="5">
        <f t="shared" si="16"/>
        <v>90.725655050650602</v>
      </c>
    </row>
    <row r="557" spans="1:3" ht="12.75" customHeight="1" thickBot="1" x14ac:dyDescent="0.3">
      <c r="A557" s="10">
        <v>26.160489290000001</v>
      </c>
      <c r="B557" s="5">
        <f t="shared" si="17"/>
        <v>11.558565542538155</v>
      </c>
      <c r="C557" s="5">
        <f t="shared" si="16"/>
        <v>133.60043740115034</v>
      </c>
    </row>
    <row r="558" spans="1:3" ht="12.75" customHeight="1" thickBot="1" x14ac:dyDescent="0.3">
      <c r="A558" s="10">
        <v>44.070462620000001</v>
      </c>
      <c r="B558" s="5">
        <f t="shared" si="17"/>
        <v>6.3514077874618451</v>
      </c>
      <c r="C558" s="5">
        <f t="shared" si="16"/>
        <v>40.340380882630967</v>
      </c>
    </row>
    <row r="559" spans="1:3" ht="12.75" customHeight="1" thickBot="1" x14ac:dyDescent="0.3">
      <c r="A559" s="10">
        <v>16.368943139999999</v>
      </c>
      <c r="B559" s="5">
        <f t="shared" si="17"/>
        <v>21.350111692538157</v>
      </c>
      <c r="C559" s="5">
        <f t="shared" si="16"/>
        <v>455.82726928385449</v>
      </c>
    </row>
    <row r="560" spans="1:3" ht="12.75" customHeight="1" thickBot="1" x14ac:dyDescent="0.3">
      <c r="A560" s="10">
        <v>48.443407800000003</v>
      </c>
      <c r="B560" s="5">
        <f t="shared" si="17"/>
        <v>10.724352967461847</v>
      </c>
      <c r="C560" s="5">
        <f t="shared" si="16"/>
        <v>115.01174657070773</v>
      </c>
    </row>
    <row r="561" spans="1:3" ht="12.75" customHeight="1" thickBot="1" x14ac:dyDescent="0.3">
      <c r="A561" s="10">
        <v>40.346421589999999</v>
      </c>
      <c r="B561" s="5">
        <f t="shared" si="17"/>
        <v>2.6273667574618429</v>
      </c>
      <c r="C561" s="5">
        <f t="shared" si="16"/>
        <v>6.9030560782155588</v>
      </c>
    </row>
    <row r="562" spans="1:3" ht="12.75" customHeight="1" thickBot="1" x14ac:dyDescent="0.3">
      <c r="A562" s="10">
        <v>58.985121990000003</v>
      </c>
      <c r="B562" s="5">
        <f t="shared" si="17"/>
        <v>21.266067157461848</v>
      </c>
      <c r="C562" s="5">
        <f t="shared" si="16"/>
        <v>452.24561234567744</v>
      </c>
    </row>
    <row r="563" spans="1:3" ht="12.75" customHeight="1" thickBot="1" x14ac:dyDescent="0.3">
      <c r="A563" s="10">
        <v>68.053307320000002</v>
      </c>
      <c r="B563" s="5">
        <f t="shared" si="17"/>
        <v>30.334252487461846</v>
      </c>
      <c r="C563" s="5">
        <f t="shared" si="16"/>
        <v>920.16687397308522</v>
      </c>
    </row>
    <row r="564" spans="1:3" ht="12.75" customHeight="1" thickBot="1" x14ac:dyDescent="0.3">
      <c r="A564" s="10">
        <v>38.149871760000003</v>
      </c>
      <c r="B564" s="5">
        <f t="shared" si="17"/>
        <v>0.43081692746184785</v>
      </c>
      <c r="C564" s="5">
        <f t="shared" si="16"/>
        <v>0.18560322498766707</v>
      </c>
    </row>
    <row r="565" spans="1:3" ht="12.75" customHeight="1" thickBot="1" x14ac:dyDescent="0.3">
      <c r="A565" s="10">
        <v>59.748928489999997</v>
      </c>
      <c r="B565" s="5">
        <f t="shared" si="17"/>
        <v>22.029873657461842</v>
      </c>
      <c r="C565" s="5">
        <f t="shared" si="16"/>
        <v>485.31533336373116</v>
      </c>
    </row>
    <row r="566" spans="1:3" ht="12.75" customHeight="1" thickBot="1" x14ac:dyDescent="0.3">
      <c r="A566" s="10">
        <v>51.979160759999999</v>
      </c>
      <c r="B566" s="5">
        <f t="shared" si="17"/>
        <v>14.260105927461844</v>
      </c>
      <c r="C566" s="5">
        <f t="shared" si="16"/>
        <v>203.3506210624324</v>
      </c>
    </row>
    <row r="567" spans="1:3" ht="12.75" customHeight="1" thickBot="1" x14ac:dyDescent="0.3">
      <c r="A567" s="10">
        <v>12.82117027</v>
      </c>
      <c r="B567" s="5">
        <f t="shared" si="17"/>
        <v>24.897884562538156</v>
      </c>
      <c r="C567" s="5">
        <f t="shared" si="16"/>
        <v>619.90465568947582</v>
      </c>
    </row>
    <row r="568" spans="1:3" ht="12.75" customHeight="1" thickBot="1" x14ac:dyDescent="0.3">
      <c r="A568" s="10">
        <v>40.243463720000001</v>
      </c>
      <c r="B568" s="5">
        <f t="shared" si="17"/>
        <v>2.5244088874618456</v>
      </c>
      <c r="C568" s="5">
        <f t="shared" si="16"/>
        <v>6.3726402310963524</v>
      </c>
    </row>
    <row r="569" spans="1:3" ht="12.75" customHeight="1" thickBot="1" x14ac:dyDescent="0.3">
      <c r="A569" s="10">
        <v>60.104392140000002</v>
      </c>
      <c r="B569" s="5">
        <f t="shared" si="17"/>
        <v>22.385337307461846</v>
      </c>
      <c r="C569" s="5">
        <f t="shared" si="16"/>
        <v>501.10332636884317</v>
      </c>
    </row>
    <row r="570" spans="1:3" ht="12.75" customHeight="1" thickBot="1" x14ac:dyDescent="0.3">
      <c r="A570" s="10">
        <v>56.475686709999998</v>
      </c>
      <c r="B570" s="5">
        <f t="shared" si="17"/>
        <v>18.756631877461842</v>
      </c>
      <c r="C570" s="5">
        <f t="shared" si="16"/>
        <v>351.81123938661779</v>
      </c>
    </row>
    <row r="571" spans="1:3" ht="12.75" customHeight="1" thickBot="1" x14ac:dyDescent="0.3">
      <c r="A571" s="10">
        <v>50.55683526</v>
      </c>
      <c r="B571" s="5">
        <f t="shared" si="17"/>
        <v>12.837780427461844</v>
      </c>
      <c r="C571" s="5">
        <f t="shared" si="16"/>
        <v>164.8086063037224</v>
      </c>
    </row>
    <row r="572" spans="1:3" ht="12.75" customHeight="1" thickBot="1" x14ac:dyDescent="0.3">
      <c r="A572" s="10">
        <v>47.778984020000003</v>
      </c>
      <c r="B572" s="5">
        <f t="shared" si="17"/>
        <v>10.059929187461847</v>
      </c>
      <c r="C572" s="5">
        <f t="shared" si="16"/>
        <v>101.20217525674678</v>
      </c>
    </row>
    <row r="573" spans="1:3" ht="12.75" customHeight="1" thickBot="1" x14ac:dyDescent="0.3">
      <c r="A573" s="10">
        <v>59.411684790000002</v>
      </c>
      <c r="B573" s="5">
        <f t="shared" si="17"/>
        <v>21.692629957461847</v>
      </c>
      <c r="C573" s="5">
        <f t="shared" si="16"/>
        <v>470.57019447137117</v>
      </c>
    </row>
    <row r="574" spans="1:3" ht="12.75" customHeight="1" thickBot="1" x14ac:dyDescent="0.3">
      <c r="A574" s="10">
        <v>32.839401379999998</v>
      </c>
      <c r="B574" s="5">
        <f t="shared" si="17"/>
        <v>4.8796534525381574</v>
      </c>
      <c r="C574" s="5">
        <f t="shared" si="16"/>
        <v>23.811017816867558</v>
      </c>
    </row>
    <row r="575" spans="1:3" ht="12.75" customHeight="1" thickBot="1" x14ac:dyDescent="0.3">
      <c r="A575" s="10">
        <v>24.133146880000002</v>
      </c>
      <c r="B575" s="5">
        <f t="shared" si="17"/>
        <v>13.585907952538154</v>
      </c>
      <c r="C575" s="5">
        <f t="shared" si="16"/>
        <v>184.57689489483946</v>
      </c>
    </row>
    <row r="576" spans="1:3" ht="12.75" customHeight="1" thickBot="1" x14ac:dyDescent="0.3">
      <c r="A576" s="10">
        <v>44.330820930000002</v>
      </c>
      <c r="B576" s="5">
        <f t="shared" si="17"/>
        <v>6.611766097461846</v>
      </c>
      <c r="C576" s="5">
        <f t="shared" si="16"/>
        <v>43.715450927545845</v>
      </c>
    </row>
    <row r="577" spans="1:3" ht="12.75" customHeight="1" thickBot="1" x14ac:dyDescent="0.3">
      <c r="A577" s="10">
        <v>16.406688939999999</v>
      </c>
      <c r="B577" s="5">
        <f t="shared" si="17"/>
        <v>21.312365892538157</v>
      </c>
      <c r="C577" s="5">
        <f t="shared" si="16"/>
        <v>454.21693993742377</v>
      </c>
    </row>
    <row r="578" spans="1:3" ht="12.75" customHeight="1" thickBot="1" x14ac:dyDescent="0.3">
      <c r="A578" s="10">
        <v>31.711330350000001</v>
      </c>
      <c r="B578" s="5">
        <f t="shared" si="17"/>
        <v>6.0077244825381548</v>
      </c>
      <c r="C578" s="5">
        <f t="shared" si="16"/>
        <v>36.092753458088339</v>
      </c>
    </row>
    <row r="579" spans="1:3" ht="12.75" customHeight="1" thickBot="1" x14ac:dyDescent="0.3">
      <c r="A579" s="10">
        <v>19.003046489999999</v>
      </c>
      <c r="B579" s="5">
        <f t="shared" si="17"/>
        <v>18.716008342538156</v>
      </c>
      <c r="C579" s="5">
        <f t="shared" ref="C579:C642" si="18">POWER(B579,2)</f>
        <v>350.28896827795785</v>
      </c>
    </row>
    <row r="580" spans="1:3" ht="12.75" customHeight="1" thickBot="1" x14ac:dyDescent="0.3">
      <c r="A580" s="10">
        <v>27.35804942</v>
      </c>
      <c r="B580" s="5">
        <f t="shared" si="17"/>
        <v>10.361005412538155</v>
      </c>
      <c r="C580" s="5">
        <f t="shared" si="18"/>
        <v>107.35043315864495</v>
      </c>
    </row>
    <row r="581" spans="1:3" ht="12.75" customHeight="1" thickBot="1" x14ac:dyDescent="0.3">
      <c r="A581" s="10">
        <v>57.981431839999999</v>
      </c>
      <c r="B581" s="5">
        <f t="shared" si="17"/>
        <v>20.262377007461843</v>
      </c>
      <c r="C581" s="5">
        <f t="shared" si="18"/>
        <v>410.56392199251837</v>
      </c>
    </row>
    <row r="582" spans="1:3" ht="12.75" customHeight="1" thickBot="1" x14ac:dyDescent="0.3">
      <c r="A582" s="10">
        <v>42.736895869999998</v>
      </c>
      <c r="B582" s="5">
        <f t="shared" si="17"/>
        <v>5.0178410374618423</v>
      </c>
      <c r="C582" s="5">
        <f t="shared" si="18"/>
        <v>25.178728677236137</v>
      </c>
    </row>
    <row r="583" spans="1:3" ht="12.75" customHeight="1" thickBot="1" x14ac:dyDescent="0.3">
      <c r="A583" s="10">
        <v>41.798107559999998</v>
      </c>
      <c r="B583" s="5">
        <f t="shared" si="17"/>
        <v>4.0790527274618427</v>
      </c>
      <c r="C583" s="5">
        <f t="shared" si="18"/>
        <v>16.638671153413899</v>
      </c>
    </row>
    <row r="584" spans="1:3" ht="12.75" customHeight="1" thickBot="1" x14ac:dyDescent="0.3">
      <c r="A584" s="10">
        <v>53.440382139999997</v>
      </c>
      <c r="B584" s="5">
        <f t="shared" si="17"/>
        <v>15.721327307461841</v>
      </c>
      <c r="C584" s="5">
        <f t="shared" si="18"/>
        <v>247.1601323083454</v>
      </c>
    </row>
    <row r="585" spans="1:3" ht="12.75" customHeight="1" thickBot="1" x14ac:dyDescent="0.3">
      <c r="A585" s="10">
        <v>59.700283880000001</v>
      </c>
      <c r="B585" s="5">
        <f t="shared" ref="B585:B648" si="19">ABS(A585-$E$2)</f>
        <v>21.981229047461845</v>
      </c>
      <c r="C585" s="5">
        <f t="shared" si="18"/>
        <v>483.17443043698034</v>
      </c>
    </row>
    <row r="586" spans="1:3" ht="12.75" customHeight="1" thickBot="1" x14ac:dyDescent="0.3">
      <c r="A586" s="10">
        <v>32.230633089999998</v>
      </c>
      <c r="B586" s="5">
        <f t="shared" si="19"/>
        <v>5.4884217425381578</v>
      </c>
      <c r="C586" s="5">
        <f t="shared" si="18"/>
        <v>30.122773223965588</v>
      </c>
    </row>
    <row r="587" spans="1:3" ht="12.75" customHeight="1" thickBot="1" x14ac:dyDescent="0.3">
      <c r="A587" s="10">
        <v>65.037588130000003</v>
      </c>
      <c r="B587" s="5">
        <f t="shared" si="19"/>
        <v>27.318533297461848</v>
      </c>
      <c r="C587" s="5">
        <f t="shared" si="18"/>
        <v>746.30226152453167</v>
      </c>
    </row>
    <row r="588" spans="1:3" ht="12.75" customHeight="1" thickBot="1" x14ac:dyDescent="0.3">
      <c r="A588" s="10">
        <v>40.175900900000002</v>
      </c>
      <c r="B588" s="5">
        <f t="shared" si="19"/>
        <v>2.4568460674618464</v>
      </c>
      <c r="C588" s="5">
        <f t="shared" si="18"/>
        <v>6.0360925992027399</v>
      </c>
    </row>
    <row r="589" spans="1:3" ht="12.75" customHeight="1" thickBot="1" x14ac:dyDescent="0.3">
      <c r="A589" s="10">
        <v>26.06073117</v>
      </c>
      <c r="B589" s="5">
        <f t="shared" si="19"/>
        <v>11.658323662538155</v>
      </c>
      <c r="C589" s="5">
        <f t="shared" si="18"/>
        <v>135.91651062049706</v>
      </c>
    </row>
    <row r="590" spans="1:3" ht="12.75" customHeight="1" thickBot="1" x14ac:dyDescent="0.3">
      <c r="A590" s="10">
        <v>12.35446846</v>
      </c>
      <c r="B590" s="5">
        <f t="shared" si="19"/>
        <v>25.364586372538156</v>
      </c>
      <c r="C590" s="5">
        <f t="shared" si="18"/>
        <v>643.3622418499483</v>
      </c>
    </row>
    <row r="591" spans="1:3" ht="12.75" customHeight="1" thickBot="1" x14ac:dyDescent="0.3">
      <c r="A591" s="10">
        <v>44.991669299999998</v>
      </c>
      <c r="B591" s="5">
        <f t="shared" si="19"/>
        <v>7.2726144674618425</v>
      </c>
      <c r="C591" s="5">
        <f t="shared" si="18"/>
        <v>52.890921192335298</v>
      </c>
    </row>
    <row r="592" spans="1:3" ht="12.75" customHeight="1" thickBot="1" x14ac:dyDescent="0.3">
      <c r="A592" s="10">
        <v>13.106493929999999</v>
      </c>
      <c r="B592" s="5">
        <f t="shared" si="19"/>
        <v>24.612560902538156</v>
      </c>
      <c r="C592" s="5">
        <f t="shared" si="18"/>
        <v>605.77815418114983</v>
      </c>
    </row>
    <row r="593" spans="1:3" ht="12.75" customHeight="1" thickBot="1" x14ac:dyDescent="0.3">
      <c r="A593" s="10">
        <v>31.498548799999998</v>
      </c>
      <c r="B593" s="5">
        <f t="shared" si="19"/>
        <v>6.2205060325381574</v>
      </c>
      <c r="C593" s="5">
        <f t="shared" si="18"/>
        <v>38.694695300843605</v>
      </c>
    </row>
    <row r="594" spans="1:3" ht="12.75" customHeight="1" thickBot="1" x14ac:dyDescent="0.3">
      <c r="A594" s="10">
        <v>49.447946760000001</v>
      </c>
      <c r="B594" s="5">
        <f t="shared" si="19"/>
        <v>11.728891927461845</v>
      </c>
      <c r="C594" s="5">
        <f t="shared" si="18"/>
        <v>137.56690584607964</v>
      </c>
    </row>
    <row r="595" spans="1:3" ht="12.75" customHeight="1" thickBot="1" x14ac:dyDescent="0.3">
      <c r="A595" s="10">
        <v>42.813930210000002</v>
      </c>
      <c r="B595" s="5">
        <f t="shared" si="19"/>
        <v>5.0948753774618467</v>
      </c>
      <c r="C595" s="5">
        <f t="shared" si="18"/>
        <v>25.957755111866994</v>
      </c>
    </row>
    <row r="596" spans="1:3" ht="12.75" customHeight="1" thickBot="1" x14ac:dyDescent="0.3">
      <c r="A596" s="10">
        <v>26.556405819999998</v>
      </c>
      <c r="B596" s="5">
        <f t="shared" si="19"/>
        <v>11.162649012538157</v>
      </c>
      <c r="C596" s="5">
        <f t="shared" si="18"/>
        <v>124.6047329771191</v>
      </c>
    </row>
    <row r="597" spans="1:3" ht="12.75" customHeight="1" thickBot="1" x14ac:dyDescent="0.3">
      <c r="A597" s="10">
        <v>45.896976979999998</v>
      </c>
      <c r="B597" s="5">
        <f t="shared" si="19"/>
        <v>8.1779221474618424</v>
      </c>
      <c r="C597" s="5">
        <f t="shared" si="18"/>
        <v>66.878410649946915</v>
      </c>
    </row>
    <row r="598" spans="1:3" ht="12.75" customHeight="1" thickBot="1" x14ac:dyDescent="0.3">
      <c r="A598" s="10">
        <v>60.17035705</v>
      </c>
      <c r="B598" s="5">
        <f t="shared" si="19"/>
        <v>22.451302217461844</v>
      </c>
      <c r="C598" s="5">
        <f t="shared" si="18"/>
        <v>504.0609712598071</v>
      </c>
    </row>
    <row r="599" spans="1:3" ht="12.75" customHeight="1" thickBot="1" x14ac:dyDescent="0.3">
      <c r="A599" s="10">
        <v>69.660800190000003</v>
      </c>
      <c r="B599" s="5">
        <f t="shared" si="19"/>
        <v>31.941745357461848</v>
      </c>
      <c r="C599" s="5">
        <f t="shared" si="18"/>
        <v>1020.2750964809355</v>
      </c>
    </row>
    <row r="600" spans="1:3" ht="12.75" customHeight="1" thickBot="1" x14ac:dyDescent="0.3">
      <c r="A600" s="10">
        <v>57.598357370000002</v>
      </c>
      <c r="B600" s="5">
        <f t="shared" si="19"/>
        <v>19.879302537461847</v>
      </c>
      <c r="C600" s="5">
        <f t="shared" si="18"/>
        <v>395.18666937593702</v>
      </c>
    </row>
    <row r="601" spans="1:3" ht="12.75" customHeight="1" thickBot="1" x14ac:dyDescent="0.3">
      <c r="A601" s="10">
        <v>64.123005140000004</v>
      </c>
      <c r="B601" s="5">
        <f t="shared" si="19"/>
        <v>26.403950307461848</v>
      </c>
      <c r="C601" s="5">
        <f t="shared" si="18"/>
        <v>697.16859183891461</v>
      </c>
    </row>
    <row r="602" spans="1:3" ht="12.75" customHeight="1" thickBot="1" x14ac:dyDescent="0.3">
      <c r="A602" s="10">
        <v>30.32072007</v>
      </c>
      <c r="B602" s="5">
        <f t="shared" si="19"/>
        <v>7.3983347625381555</v>
      </c>
      <c r="C602" s="5">
        <f t="shared" si="18"/>
        <v>54.735357258580507</v>
      </c>
    </row>
    <row r="603" spans="1:3" ht="12.75" customHeight="1" thickBot="1" x14ac:dyDescent="0.3">
      <c r="A603" s="10">
        <v>58.993205860000003</v>
      </c>
      <c r="B603" s="5">
        <f t="shared" si="19"/>
        <v>21.274151027461848</v>
      </c>
      <c r="C603" s="5">
        <f t="shared" si="18"/>
        <v>452.58950193925597</v>
      </c>
    </row>
    <row r="604" spans="1:3" ht="12.75" customHeight="1" thickBot="1" x14ac:dyDescent="0.3">
      <c r="A604" s="10">
        <v>45.75478519</v>
      </c>
      <c r="B604" s="5">
        <f t="shared" si="19"/>
        <v>8.0357303574618442</v>
      </c>
      <c r="C604" s="5">
        <f t="shared" si="18"/>
        <v>64.572962377833861</v>
      </c>
    </row>
    <row r="605" spans="1:3" ht="12.75" customHeight="1" thickBot="1" x14ac:dyDescent="0.3">
      <c r="A605" s="10">
        <v>33.435554459999999</v>
      </c>
      <c r="B605" s="5">
        <f t="shared" si="19"/>
        <v>4.2835003725381569</v>
      </c>
      <c r="C605" s="5">
        <f t="shared" si="18"/>
        <v>18.348375441534529</v>
      </c>
    </row>
    <row r="606" spans="1:3" ht="12.75" customHeight="1" thickBot="1" x14ac:dyDescent="0.3">
      <c r="A606" s="10">
        <v>44.399996299999998</v>
      </c>
      <c r="B606" s="5">
        <f t="shared" si="19"/>
        <v>6.6809414674618424</v>
      </c>
      <c r="C606" s="5">
        <f t="shared" si="18"/>
        <v>44.634978891651194</v>
      </c>
    </row>
    <row r="607" spans="1:3" ht="12.75" customHeight="1" thickBot="1" x14ac:dyDescent="0.3">
      <c r="A607" s="10">
        <v>56.225340760000002</v>
      </c>
      <c r="B607" s="5">
        <f t="shared" si="19"/>
        <v>18.506285927461846</v>
      </c>
      <c r="C607" s="5">
        <f t="shared" si="18"/>
        <v>342.48261882897236</v>
      </c>
    </row>
    <row r="608" spans="1:3" ht="12.75" customHeight="1" thickBot="1" x14ac:dyDescent="0.3">
      <c r="A608" s="10">
        <v>24.66350014</v>
      </c>
      <c r="B608" s="5">
        <f t="shared" si="19"/>
        <v>13.055554692538156</v>
      </c>
      <c r="C608" s="5">
        <f t="shared" si="18"/>
        <v>170.44750832985505</v>
      </c>
    </row>
    <row r="609" spans="1:3" ht="12.75" customHeight="1" thickBot="1" x14ac:dyDescent="0.3">
      <c r="A609" s="10">
        <v>38.356721980000003</v>
      </c>
      <c r="B609" s="5">
        <f t="shared" si="19"/>
        <v>0.63766714746184761</v>
      </c>
      <c r="C609" s="5">
        <f t="shared" si="18"/>
        <v>0.40661939095212968</v>
      </c>
    </row>
    <row r="610" spans="1:3" ht="12.75" customHeight="1" thickBot="1" x14ac:dyDescent="0.3">
      <c r="A610" s="10">
        <v>44.33400829</v>
      </c>
      <c r="B610" s="5">
        <f t="shared" si="19"/>
        <v>6.6149534574618443</v>
      </c>
      <c r="C610" s="5">
        <f t="shared" si="18"/>
        <v>43.757609244386408</v>
      </c>
    </row>
    <row r="611" spans="1:3" ht="12.75" customHeight="1" thickBot="1" x14ac:dyDescent="0.3">
      <c r="A611" s="10">
        <v>49.719611790000002</v>
      </c>
      <c r="B611" s="5">
        <f t="shared" si="19"/>
        <v>12.000556957461846</v>
      </c>
      <c r="C611" s="5">
        <f t="shared" si="18"/>
        <v>144.01336728928592</v>
      </c>
    </row>
    <row r="612" spans="1:3" ht="12.75" customHeight="1" thickBot="1" x14ac:dyDescent="0.3">
      <c r="A612" s="10">
        <v>41.146056399999999</v>
      </c>
      <c r="B612" s="5">
        <f t="shared" si="19"/>
        <v>3.4270015674618435</v>
      </c>
      <c r="C612" s="5">
        <f t="shared" si="18"/>
        <v>11.744339743385932</v>
      </c>
    </row>
    <row r="613" spans="1:3" ht="12.75" customHeight="1" thickBot="1" x14ac:dyDescent="0.3">
      <c r="A613" s="10">
        <v>41.792783620000002</v>
      </c>
      <c r="B613" s="5">
        <f t="shared" si="19"/>
        <v>4.073728787461846</v>
      </c>
      <c r="C613" s="5">
        <f t="shared" si="18"/>
        <v>16.59526623379536</v>
      </c>
    </row>
    <row r="614" spans="1:3" ht="12.75" customHeight="1" thickBot="1" x14ac:dyDescent="0.3">
      <c r="A614" s="10">
        <v>61.17716274</v>
      </c>
      <c r="B614" s="5">
        <f t="shared" si="19"/>
        <v>23.458107907461844</v>
      </c>
      <c r="C614" s="5">
        <f t="shared" si="18"/>
        <v>550.28282659812396</v>
      </c>
    </row>
    <row r="615" spans="1:3" ht="12.75" customHeight="1" thickBot="1" x14ac:dyDescent="0.3">
      <c r="A615" s="10">
        <v>25.279850920000001</v>
      </c>
      <c r="B615" s="5">
        <f t="shared" si="19"/>
        <v>12.439203912538154</v>
      </c>
      <c r="C615" s="5">
        <f t="shared" si="18"/>
        <v>154.73379397770452</v>
      </c>
    </row>
    <row r="616" spans="1:3" ht="12.75" customHeight="1" thickBot="1" x14ac:dyDescent="0.3">
      <c r="A616" s="10">
        <v>41.772822959999999</v>
      </c>
      <c r="B616" s="5">
        <f t="shared" si="19"/>
        <v>4.0537681274618436</v>
      </c>
      <c r="C616" s="5">
        <f t="shared" si="18"/>
        <v>16.433036031225502</v>
      </c>
    </row>
    <row r="617" spans="1:3" ht="12.75" customHeight="1" thickBot="1" x14ac:dyDescent="0.3">
      <c r="A617" s="10">
        <v>26.63873933</v>
      </c>
      <c r="B617" s="5">
        <f t="shared" si="19"/>
        <v>11.080315502538156</v>
      </c>
      <c r="C617" s="5">
        <f t="shared" si="18"/>
        <v>122.77339163578738</v>
      </c>
    </row>
    <row r="618" spans="1:3" ht="12.75" customHeight="1" thickBot="1" x14ac:dyDescent="0.3">
      <c r="A618" s="10">
        <v>22.290723209999999</v>
      </c>
      <c r="B618" s="5">
        <f t="shared" si="19"/>
        <v>15.428331622538156</v>
      </c>
      <c r="C618" s="5">
        <f t="shared" si="18"/>
        <v>238.03341665501085</v>
      </c>
    </row>
    <row r="619" spans="1:3" ht="12.75" customHeight="1" thickBot="1" x14ac:dyDescent="0.3">
      <c r="A619" s="10">
        <v>42.82041813</v>
      </c>
      <c r="B619" s="5">
        <f t="shared" si="19"/>
        <v>5.1013632974618446</v>
      </c>
      <c r="C619" s="5">
        <f t="shared" si="18"/>
        <v>26.023907492690785</v>
      </c>
    </row>
    <row r="620" spans="1:3" ht="12.75" customHeight="1" thickBot="1" x14ac:dyDescent="0.3">
      <c r="A620" s="10">
        <v>10.5159564</v>
      </c>
      <c r="B620" s="5">
        <f t="shared" si="19"/>
        <v>27.203098432538155</v>
      </c>
      <c r="C620" s="5">
        <f t="shared" si="18"/>
        <v>740.00856433035983</v>
      </c>
    </row>
    <row r="621" spans="1:3" ht="12.75" customHeight="1" thickBot="1" x14ac:dyDescent="0.3">
      <c r="A621" s="10">
        <v>55.991908350000003</v>
      </c>
      <c r="B621" s="5">
        <f t="shared" si="19"/>
        <v>18.272853517461847</v>
      </c>
      <c r="C621" s="5">
        <f t="shared" si="18"/>
        <v>333.8971756706178</v>
      </c>
    </row>
    <row r="622" spans="1:3" ht="12.75" customHeight="1" thickBot="1" x14ac:dyDescent="0.3">
      <c r="A622" s="10">
        <v>15.82106001</v>
      </c>
      <c r="B622" s="5">
        <f t="shared" si="19"/>
        <v>21.897994822538156</v>
      </c>
      <c r="C622" s="5">
        <f t="shared" si="18"/>
        <v>479.52217724790785</v>
      </c>
    </row>
    <row r="623" spans="1:3" ht="12.75" customHeight="1" thickBot="1" x14ac:dyDescent="0.3">
      <c r="A623" s="10">
        <v>40.375444270000003</v>
      </c>
      <c r="B623" s="5">
        <f t="shared" si="19"/>
        <v>2.6563894374618471</v>
      </c>
      <c r="C623" s="5">
        <f t="shared" si="18"/>
        <v>7.0564048434588686</v>
      </c>
    </row>
    <row r="624" spans="1:3" ht="12.75" customHeight="1" thickBot="1" x14ac:dyDescent="0.3">
      <c r="A624" s="10">
        <v>48.810605870000003</v>
      </c>
      <c r="B624" s="5">
        <f t="shared" si="19"/>
        <v>11.091551037461848</v>
      </c>
      <c r="C624" s="5">
        <f t="shared" si="18"/>
        <v>123.02250441662099</v>
      </c>
    </row>
    <row r="625" spans="1:3" ht="12.75" customHeight="1" thickBot="1" x14ac:dyDescent="0.3">
      <c r="A625" s="10">
        <v>13.462037779999999</v>
      </c>
      <c r="B625" s="5">
        <f t="shared" si="19"/>
        <v>24.257017052538156</v>
      </c>
      <c r="C625" s="5">
        <f t="shared" si="18"/>
        <v>588.4028762871269</v>
      </c>
    </row>
    <row r="626" spans="1:3" ht="12.75" customHeight="1" thickBot="1" x14ac:dyDescent="0.3">
      <c r="A626" s="10">
        <v>14.22145443</v>
      </c>
      <c r="B626" s="5">
        <f t="shared" si="19"/>
        <v>23.497600402538154</v>
      </c>
      <c r="C626" s="5">
        <f t="shared" si="18"/>
        <v>552.13722467736125</v>
      </c>
    </row>
    <row r="627" spans="1:3" ht="12.75" customHeight="1" thickBot="1" x14ac:dyDescent="0.3">
      <c r="A627" s="10">
        <v>47.23648481</v>
      </c>
      <c r="B627" s="5">
        <f t="shared" si="19"/>
        <v>9.5174299774618447</v>
      </c>
      <c r="C627" s="5">
        <f t="shared" si="18"/>
        <v>90.581473375889374</v>
      </c>
    </row>
    <row r="628" spans="1:3" ht="12.75" customHeight="1" thickBot="1" x14ac:dyDescent="0.3">
      <c r="A628" s="10">
        <v>39.085337690000003</v>
      </c>
      <c r="B628" s="5">
        <f t="shared" si="19"/>
        <v>1.3662828574618473</v>
      </c>
      <c r="C628" s="5">
        <f t="shared" si="18"/>
        <v>1.8667288465941105</v>
      </c>
    </row>
    <row r="629" spans="1:3" ht="12.75" customHeight="1" thickBot="1" x14ac:dyDescent="0.3">
      <c r="A629" s="10">
        <v>40.40183021</v>
      </c>
      <c r="B629" s="5">
        <f t="shared" si="19"/>
        <v>2.6827753774618444</v>
      </c>
      <c r="C629" s="5">
        <f t="shared" si="18"/>
        <v>7.1972837259155416</v>
      </c>
    </row>
    <row r="630" spans="1:3" ht="12.75" customHeight="1" thickBot="1" x14ac:dyDescent="0.3">
      <c r="A630" s="10">
        <v>51.41591871</v>
      </c>
      <c r="B630" s="5">
        <f t="shared" si="19"/>
        <v>13.696863877461844</v>
      </c>
      <c r="C630" s="5">
        <f t="shared" si="18"/>
        <v>187.60408007771909</v>
      </c>
    </row>
    <row r="631" spans="1:3" ht="12.75" customHeight="1" thickBot="1" x14ac:dyDescent="0.3">
      <c r="A631" s="10">
        <v>41.664025379999998</v>
      </c>
      <c r="B631" s="5">
        <f t="shared" si="19"/>
        <v>3.9449705474618426</v>
      </c>
      <c r="C631" s="5">
        <f t="shared" si="18"/>
        <v>15.562792620341391</v>
      </c>
    </row>
    <row r="632" spans="1:3" ht="12.75" customHeight="1" thickBot="1" x14ac:dyDescent="0.3">
      <c r="A632" s="10">
        <v>40.291141109999998</v>
      </c>
      <c r="B632" s="5">
        <f t="shared" si="19"/>
        <v>2.5720862774618425</v>
      </c>
      <c r="C632" s="5">
        <f t="shared" si="18"/>
        <v>6.6156278187075186</v>
      </c>
    </row>
    <row r="633" spans="1:3" ht="12.75" customHeight="1" thickBot="1" x14ac:dyDescent="0.3">
      <c r="A633" s="10">
        <v>13.167425529999999</v>
      </c>
      <c r="B633" s="5">
        <f t="shared" si="19"/>
        <v>24.551629302538156</v>
      </c>
      <c r="C633" s="5">
        <f t="shared" si="18"/>
        <v>602.78250140925024</v>
      </c>
    </row>
    <row r="634" spans="1:3" ht="12.75" customHeight="1" thickBot="1" x14ac:dyDescent="0.3">
      <c r="A634" s="10">
        <v>47.715229440000002</v>
      </c>
      <c r="B634" s="5">
        <f t="shared" si="19"/>
        <v>9.9961746074618461</v>
      </c>
      <c r="C634" s="5">
        <f t="shared" si="18"/>
        <v>99.92350678286499</v>
      </c>
    </row>
    <row r="635" spans="1:3" ht="12.75" customHeight="1" thickBot="1" x14ac:dyDescent="0.3">
      <c r="A635" s="10">
        <v>50.301523719999999</v>
      </c>
      <c r="B635" s="5">
        <f t="shared" si="19"/>
        <v>12.582468887461843</v>
      </c>
      <c r="C635" s="5">
        <f t="shared" si="18"/>
        <v>158.31852330394528</v>
      </c>
    </row>
    <row r="636" spans="1:3" ht="12.75" customHeight="1" thickBot="1" x14ac:dyDescent="0.3">
      <c r="A636" s="10">
        <v>50.013065920000003</v>
      </c>
      <c r="B636" s="5">
        <f t="shared" si="19"/>
        <v>12.294011087461847</v>
      </c>
      <c r="C636" s="5">
        <f t="shared" si="18"/>
        <v>151.14270861863483</v>
      </c>
    </row>
    <row r="637" spans="1:3" ht="12.75" customHeight="1" thickBot="1" x14ac:dyDescent="0.3">
      <c r="A637" s="10">
        <v>21.072899639999999</v>
      </c>
      <c r="B637" s="5">
        <f t="shared" si="19"/>
        <v>16.646155192538156</v>
      </c>
      <c r="C637" s="5">
        <f t="shared" si="18"/>
        <v>277.09448269406505</v>
      </c>
    </row>
    <row r="638" spans="1:3" ht="12.75" customHeight="1" thickBot="1" x14ac:dyDescent="0.3">
      <c r="A638" s="10">
        <v>22.945829499999999</v>
      </c>
      <c r="B638" s="5">
        <f t="shared" si="19"/>
        <v>14.773225332538157</v>
      </c>
      <c r="C638" s="5">
        <f t="shared" si="18"/>
        <v>218.24818672594714</v>
      </c>
    </row>
    <row r="639" spans="1:3" ht="12.75" customHeight="1" thickBot="1" x14ac:dyDescent="0.3">
      <c r="A639" s="10">
        <v>26.724032019999999</v>
      </c>
      <c r="B639" s="5">
        <f t="shared" si="19"/>
        <v>10.995022812538156</v>
      </c>
      <c r="C639" s="5">
        <f t="shared" si="18"/>
        <v>120.89052664823447</v>
      </c>
    </row>
    <row r="640" spans="1:3" ht="12.75" customHeight="1" thickBot="1" x14ac:dyDescent="0.3">
      <c r="A640" s="10">
        <v>50.93585281</v>
      </c>
      <c r="B640" s="5">
        <f t="shared" si="19"/>
        <v>13.216797977461844</v>
      </c>
      <c r="C640" s="5">
        <f t="shared" si="18"/>
        <v>174.68374877703951</v>
      </c>
    </row>
    <row r="641" spans="1:3" ht="12.75" customHeight="1" thickBot="1" x14ac:dyDescent="0.3">
      <c r="A641" s="10">
        <v>61.024671179999999</v>
      </c>
      <c r="B641" s="5">
        <f t="shared" si="19"/>
        <v>23.305616347461843</v>
      </c>
      <c r="C641" s="5">
        <f t="shared" si="18"/>
        <v>543.15175333508068</v>
      </c>
    </row>
    <row r="642" spans="1:3" ht="12.75" customHeight="1" thickBot="1" x14ac:dyDescent="0.3">
      <c r="A642" s="10">
        <v>43.892056099999998</v>
      </c>
      <c r="B642" s="5">
        <f t="shared" si="19"/>
        <v>6.1730012674618422</v>
      </c>
      <c r="C642" s="5">
        <f t="shared" si="18"/>
        <v>38.105944648085512</v>
      </c>
    </row>
    <row r="643" spans="1:3" ht="12.75" customHeight="1" thickBot="1" x14ac:dyDescent="0.3">
      <c r="A643" s="10">
        <v>61.666347250000001</v>
      </c>
      <c r="B643" s="5">
        <f t="shared" si="19"/>
        <v>23.947292417461846</v>
      </c>
      <c r="C643" s="5">
        <f t="shared" ref="C643:C706" si="20">POWER(B643,2)</f>
        <v>573.47281412742564</v>
      </c>
    </row>
    <row r="644" spans="1:3" ht="12.75" customHeight="1" thickBot="1" x14ac:dyDescent="0.3">
      <c r="A644" s="10">
        <v>34.380707030000003</v>
      </c>
      <c r="B644" s="5">
        <f t="shared" si="19"/>
        <v>3.3383478025381521</v>
      </c>
      <c r="C644" s="5">
        <f t="shared" si="20"/>
        <v>11.144566050711308</v>
      </c>
    </row>
    <row r="645" spans="1:3" ht="12.75" customHeight="1" thickBot="1" x14ac:dyDescent="0.3">
      <c r="A645" s="10">
        <v>42.854419720000003</v>
      </c>
      <c r="B645" s="5">
        <f t="shared" si="19"/>
        <v>5.1353648874618472</v>
      </c>
      <c r="C645" s="5">
        <f t="shared" si="20"/>
        <v>26.37197252737603</v>
      </c>
    </row>
    <row r="646" spans="1:3" ht="12.75" customHeight="1" thickBot="1" x14ac:dyDescent="0.3">
      <c r="A646" s="10">
        <v>59.990340260000004</v>
      </c>
      <c r="B646" s="5">
        <f t="shared" si="19"/>
        <v>22.271285427461848</v>
      </c>
      <c r="C646" s="5">
        <f t="shared" si="20"/>
        <v>496.01015459147447</v>
      </c>
    </row>
    <row r="647" spans="1:3" ht="12.75" customHeight="1" thickBot="1" x14ac:dyDescent="0.3">
      <c r="A647" s="10">
        <v>58.954865159999997</v>
      </c>
      <c r="B647" s="5">
        <f t="shared" si="19"/>
        <v>21.235810327461841</v>
      </c>
      <c r="C647" s="5">
        <f t="shared" si="20"/>
        <v>450.959640263935</v>
      </c>
    </row>
    <row r="648" spans="1:3" ht="12.75" customHeight="1" thickBot="1" x14ac:dyDescent="0.3">
      <c r="A648" s="10">
        <v>20.69313416</v>
      </c>
      <c r="B648" s="5">
        <f t="shared" si="19"/>
        <v>17.025920672538156</v>
      </c>
      <c r="C648" s="5">
        <f t="shared" si="20"/>
        <v>289.88197474756214</v>
      </c>
    </row>
    <row r="649" spans="1:3" ht="12.75" customHeight="1" thickBot="1" x14ac:dyDescent="0.3">
      <c r="A649" s="10">
        <v>40.949691889999997</v>
      </c>
      <c r="B649" s="5">
        <f t="shared" ref="B649:B712" si="21">ABS(A649-$E$2)</f>
        <v>3.2306370574618413</v>
      </c>
      <c r="C649" s="5">
        <f t="shared" si="20"/>
        <v>10.437015797045705</v>
      </c>
    </row>
    <row r="650" spans="1:3" ht="12.75" customHeight="1" thickBot="1" x14ac:dyDescent="0.3">
      <c r="A650" s="10">
        <v>40.654705790000001</v>
      </c>
      <c r="B650" s="5">
        <f t="shared" si="21"/>
        <v>2.9356509574618457</v>
      </c>
      <c r="C650" s="5">
        <f t="shared" si="20"/>
        <v>8.6180465440466509</v>
      </c>
    </row>
    <row r="651" spans="1:3" ht="12.75" customHeight="1" thickBot="1" x14ac:dyDescent="0.3">
      <c r="A651" s="10">
        <v>40.394105930000002</v>
      </c>
      <c r="B651" s="5">
        <f t="shared" si="21"/>
        <v>2.6750510974618464</v>
      </c>
      <c r="C651" s="5">
        <f t="shared" si="20"/>
        <v>7.1558983740318292</v>
      </c>
    </row>
    <row r="652" spans="1:3" ht="12.75" customHeight="1" thickBot="1" x14ac:dyDescent="0.3">
      <c r="A652" s="10">
        <v>59.711074949999997</v>
      </c>
      <c r="B652" s="5">
        <f t="shared" si="21"/>
        <v>21.992020117461841</v>
      </c>
      <c r="C652" s="5">
        <f t="shared" si="20"/>
        <v>483.64894884684634</v>
      </c>
    </row>
    <row r="653" spans="1:3" ht="12.75" customHeight="1" thickBot="1" x14ac:dyDescent="0.3">
      <c r="A653" s="10">
        <v>45.946203529999998</v>
      </c>
      <c r="B653" s="5">
        <f t="shared" si="21"/>
        <v>8.2271486974618426</v>
      </c>
      <c r="C653" s="5">
        <f t="shared" si="20"/>
        <v>67.685975690148098</v>
      </c>
    </row>
    <row r="654" spans="1:3" ht="12.75" customHeight="1" thickBot="1" x14ac:dyDescent="0.3">
      <c r="A654" s="10">
        <v>12.913981250000001</v>
      </c>
      <c r="B654" s="5">
        <f t="shared" si="21"/>
        <v>24.805073582538157</v>
      </c>
      <c r="C654" s="5">
        <f t="shared" si="20"/>
        <v>615.29167543513233</v>
      </c>
    </row>
    <row r="655" spans="1:3" ht="12.75" customHeight="1" thickBot="1" x14ac:dyDescent="0.3">
      <c r="A655" s="10">
        <v>20.859346049999999</v>
      </c>
      <c r="B655" s="5">
        <f t="shared" si="21"/>
        <v>16.859708782538156</v>
      </c>
      <c r="C655" s="5">
        <f t="shared" si="20"/>
        <v>284.24978023199424</v>
      </c>
    </row>
    <row r="656" spans="1:3" ht="12.75" customHeight="1" thickBot="1" x14ac:dyDescent="0.3">
      <c r="A656" s="10">
        <v>56.704085669999998</v>
      </c>
      <c r="B656" s="5">
        <f t="shared" si="21"/>
        <v>18.985030837461842</v>
      </c>
      <c r="C656" s="5">
        <f t="shared" si="20"/>
        <v>360.43139589937709</v>
      </c>
    </row>
    <row r="657" spans="1:3" ht="12.75" customHeight="1" thickBot="1" x14ac:dyDescent="0.3">
      <c r="A657" s="10">
        <v>44.989623780000002</v>
      </c>
      <c r="B657" s="5">
        <f t="shared" si="21"/>
        <v>7.2705689474618467</v>
      </c>
      <c r="C657" s="5">
        <f t="shared" si="20"/>
        <v>52.861172819796465</v>
      </c>
    </row>
    <row r="658" spans="1:3" ht="12.75" customHeight="1" thickBot="1" x14ac:dyDescent="0.3">
      <c r="A658" s="10">
        <v>30.356226320000001</v>
      </c>
      <c r="B658" s="5">
        <f t="shared" si="21"/>
        <v>7.3628285125381545</v>
      </c>
      <c r="C658" s="5">
        <f t="shared" si="20"/>
        <v>54.211243705044815</v>
      </c>
    </row>
    <row r="659" spans="1:3" ht="12.75" customHeight="1" thickBot="1" x14ac:dyDescent="0.3">
      <c r="A659" s="10">
        <v>44.744439900000003</v>
      </c>
      <c r="B659" s="5">
        <f t="shared" si="21"/>
        <v>7.0253850674618477</v>
      </c>
      <c r="C659" s="5">
        <f t="shared" si="20"/>
        <v>49.35603534611591</v>
      </c>
    </row>
    <row r="660" spans="1:3" ht="12.75" customHeight="1" thickBot="1" x14ac:dyDescent="0.3">
      <c r="A660" s="10">
        <v>52.196759200000002</v>
      </c>
      <c r="B660" s="5">
        <f t="shared" si="21"/>
        <v>14.477704367461847</v>
      </c>
      <c r="C660" s="5">
        <f t="shared" si="20"/>
        <v>209.60392375162382</v>
      </c>
    </row>
    <row r="661" spans="1:3" ht="12.75" customHeight="1" thickBot="1" x14ac:dyDescent="0.3">
      <c r="A661" s="10">
        <v>23.16390037</v>
      </c>
      <c r="B661" s="5">
        <f t="shared" si="21"/>
        <v>14.555154462538155</v>
      </c>
      <c r="C661" s="5">
        <f t="shared" si="20"/>
        <v>211.85252142834437</v>
      </c>
    </row>
    <row r="662" spans="1:3" ht="12.75" customHeight="1" thickBot="1" x14ac:dyDescent="0.3">
      <c r="A662" s="10">
        <v>34.358659500000002</v>
      </c>
      <c r="B662" s="5">
        <f t="shared" si="21"/>
        <v>3.3603953325381539</v>
      </c>
      <c r="C662" s="5">
        <f t="shared" si="20"/>
        <v>11.29225679094421</v>
      </c>
    </row>
    <row r="663" spans="1:3" ht="12.75" customHeight="1" thickBot="1" x14ac:dyDescent="0.3">
      <c r="A663" s="10">
        <v>24.674164919999999</v>
      </c>
      <c r="B663" s="5">
        <f t="shared" si="21"/>
        <v>13.044889912538157</v>
      </c>
      <c r="C663" s="5">
        <f t="shared" si="20"/>
        <v>170.16915283023977</v>
      </c>
    </row>
    <row r="664" spans="1:3" ht="12.75" customHeight="1" thickBot="1" x14ac:dyDescent="0.3">
      <c r="A664" s="10">
        <v>60.522234859999998</v>
      </c>
      <c r="B664" s="5">
        <f t="shared" si="21"/>
        <v>22.803180027461842</v>
      </c>
      <c r="C664" s="5">
        <f t="shared" si="20"/>
        <v>519.98501936483467</v>
      </c>
    </row>
    <row r="665" spans="1:3" ht="12.75" customHeight="1" thickBot="1" x14ac:dyDescent="0.3">
      <c r="A665" s="10">
        <v>42.196268070000002</v>
      </c>
      <c r="B665" s="5">
        <f t="shared" si="21"/>
        <v>4.4772132374618465</v>
      </c>
      <c r="C665" s="5">
        <f t="shared" si="20"/>
        <v>20.04543837370359</v>
      </c>
    </row>
    <row r="666" spans="1:3" ht="12.75" customHeight="1" thickBot="1" x14ac:dyDescent="0.3">
      <c r="A666" s="10">
        <v>50.075226530000002</v>
      </c>
      <c r="B666" s="5">
        <f t="shared" si="21"/>
        <v>12.356171697461846</v>
      </c>
      <c r="C666" s="5">
        <f t="shared" si="20"/>
        <v>152.67497901715717</v>
      </c>
    </row>
    <row r="667" spans="1:3" ht="12.75" customHeight="1" thickBot="1" x14ac:dyDescent="0.3">
      <c r="A667" s="10">
        <v>68.364071569999993</v>
      </c>
      <c r="B667" s="5">
        <f t="shared" si="21"/>
        <v>30.645016737461837</v>
      </c>
      <c r="C667" s="5">
        <f t="shared" si="20"/>
        <v>939.11705083931611</v>
      </c>
    </row>
    <row r="668" spans="1:3" ht="12.75" customHeight="1" thickBot="1" x14ac:dyDescent="0.3">
      <c r="A668" s="10">
        <v>52.705174100000001</v>
      </c>
      <c r="B668" s="5">
        <f t="shared" si="21"/>
        <v>14.986119267461845</v>
      </c>
      <c r="C668" s="5">
        <f t="shared" si="20"/>
        <v>224.58377069859114</v>
      </c>
    </row>
    <row r="669" spans="1:3" ht="12.75" customHeight="1" thickBot="1" x14ac:dyDescent="0.3">
      <c r="A669" s="10">
        <v>63.097919400000002</v>
      </c>
      <c r="B669" s="5">
        <f t="shared" si="21"/>
        <v>25.378864567461846</v>
      </c>
      <c r="C669" s="5">
        <f t="shared" si="20"/>
        <v>644.08676673357036</v>
      </c>
    </row>
    <row r="670" spans="1:3" ht="12.75" customHeight="1" thickBot="1" x14ac:dyDescent="0.3">
      <c r="A670" s="10">
        <v>34.683114510000003</v>
      </c>
      <c r="B670" s="5">
        <f t="shared" si="21"/>
        <v>3.0359403225381527</v>
      </c>
      <c r="C670" s="5">
        <f t="shared" si="20"/>
        <v>9.2169336420130623</v>
      </c>
    </row>
    <row r="671" spans="1:3" ht="12.75" customHeight="1" thickBot="1" x14ac:dyDescent="0.3">
      <c r="A671" s="10">
        <v>18.175812270000002</v>
      </c>
      <c r="B671" s="5">
        <f t="shared" si="21"/>
        <v>19.543242562538154</v>
      </c>
      <c r="C671" s="5">
        <f t="shared" si="20"/>
        <v>381.93832985820285</v>
      </c>
    </row>
    <row r="672" spans="1:3" ht="12.75" customHeight="1" thickBot="1" x14ac:dyDescent="0.3">
      <c r="A672" s="10">
        <v>26.642110150000001</v>
      </c>
      <c r="B672" s="5">
        <f t="shared" si="21"/>
        <v>11.076944682538155</v>
      </c>
      <c r="C672" s="5">
        <f t="shared" si="20"/>
        <v>122.69870350001031</v>
      </c>
    </row>
    <row r="673" spans="1:3" ht="12.75" customHeight="1" thickBot="1" x14ac:dyDescent="0.3">
      <c r="A673" s="10">
        <v>40.305844989999997</v>
      </c>
      <c r="B673" s="5">
        <f t="shared" si="21"/>
        <v>2.5867901574618415</v>
      </c>
      <c r="C673" s="5">
        <f t="shared" si="20"/>
        <v>6.6914833187414589</v>
      </c>
    </row>
    <row r="674" spans="1:3" ht="12.75" customHeight="1" thickBot="1" x14ac:dyDescent="0.3">
      <c r="A674" s="10">
        <v>21.404761400000002</v>
      </c>
      <c r="B674" s="5">
        <f t="shared" si="21"/>
        <v>16.314293432538154</v>
      </c>
      <c r="C674" s="5">
        <f t="shared" si="20"/>
        <v>266.15617020295753</v>
      </c>
    </row>
    <row r="675" spans="1:3" ht="12.75" customHeight="1" thickBot="1" x14ac:dyDescent="0.3">
      <c r="A675" s="10">
        <v>14.985125030000001</v>
      </c>
      <c r="B675" s="5">
        <f t="shared" si="21"/>
        <v>22.733929802538157</v>
      </c>
      <c r="C675" s="5">
        <f t="shared" si="20"/>
        <v>516.83156426673258</v>
      </c>
    </row>
    <row r="676" spans="1:3" ht="12.75" customHeight="1" thickBot="1" x14ac:dyDescent="0.3">
      <c r="A676" s="10">
        <v>21.061592260000001</v>
      </c>
      <c r="B676" s="5">
        <f t="shared" si="21"/>
        <v>16.657462572538154</v>
      </c>
      <c r="C676" s="5">
        <f t="shared" si="20"/>
        <v>277.47105935550945</v>
      </c>
    </row>
    <row r="677" spans="1:3" ht="12.75" customHeight="1" thickBot="1" x14ac:dyDescent="0.3">
      <c r="A677" s="10">
        <v>55.959895539999998</v>
      </c>
      <c r="B677" s="5">
        <f t="shared" si="21"/>
        <v>18.240840707461842</v>
      </c>
      <c r="C677" s="5">
        <f t="shared" si="20"/>
        <v>332.72826971499705</v>
      </c>
    </row>
    <row r="678" spans="1:3" ht="12.75" customHeight="1" thickBot="1" x14ac:dyDescent="0.3">
      <c r="A678" s="10">
        <v>17.764460570000001</v>
      </c>
      <c r="B678" s="5">
        <f t="shared" si="21"/>
        <v>19.954594262538155</v>
      </c>
      <c r="C678" s="5">
        <f t="shared" si="20"/>
        <v>398.18583218252064</v>
      </c>
    </row>
    <row r="679" spans="1:3" ht="12.75" customHeight="1" thickBot="1" x14ac:dyDescent="0.3">
      <c r="A679" s="10">
        <v>36.804002029999999</v>
      </c>
      <c r="B679" s="5">
        <f t="shared" si="21"/>
        <v>0.91505280253815613</v>
      </c>
      <c r="C679" s="5">
        <f t="shared" si="20"/>
        <v>0.8373216314329337</v>
      </c>
    </row>
    <row r="680" spans="1:3" ht="12.75" customHeight="1" thickBot="1" x14ac:dyDescent="0.3">
      <c r="A680" s="10">
        <v>33.963363459999997</v>
      </c>
      <c r="B680" s="5">
        <f t="shared" si="21"/>
        <v>3.7556913725381591</v>
      </c>
      <c r="C680" s="5">
        <f t="shared" si="20"/>
        <v>14.105217685757561</v>
      </c>
    </row>
    <row r="681" spans="1:3" ht="12.75" customHeight="1" thickBot="1" x14ac:dyDescent="0.3">
      <c r="A681" s="10">
        <v>13.954350979999999</v>
      </c>
      <c r="B681" s="5">
        <f t="shared" si="21"/>
        <v>23.764703852538155</v>
      </c>
      <c r="C681" s="5">
        <f t="shared" si="20"/>
        <v>564.76114919884185</v>
      </c>
    </row>
    <row r="682" spans="1:3" ht="12.75" customHeight="1" thickBot="1" x14ac:dyDescent="0.3">
      <c r="A682" s="10">
        <v>60.57901502</v>
      </c>
      <c r="B682" s="5">
        <f t="shared" si="21"/>
        <v>22.859960187461844</v>
      </c>
      <c r="C682" s="5">
        <f t="shared" si="20"/>
        <v>522.57777977234059</v>
      </c>
    </row>
    <row r="683" spans="1:3" ht="12.75" customHeight="1" thickBot="1" x14ac:dyDescent="0.3">
      <c r="A683" s="10">
        <v>31.552030340000002</v>
      </c>
      <c r="B683" s="5">
        <f t="shared" si="21"/>
        <v>6.1670244925381539</v>
      </c>
      <c r="C683" s="5">
        <f t="shared" si="20"/>
        <v>38.032191091565473</v>
      </c>
    </row>
    <row r="684" spans="1:3" ht="12.75" customHeight="1" thickBot="1" x14ac:dyDescent="0.3">
      <c r="A684" s="10">
        <v>56.048497990000001</v>
      </c>
      <c r="B684" s="5">
        <f t="shared" si="21"/>
        <v>18.329443157461846</v>
      </c>
      <c r="C684" s="5">
        <f t="shared" si="20"/>
        <v>335.96848646262487</v>
      </c>
    </row>
    <row r="685" spans="1:3" ht="12.75" customHeight="1" thickBot="1" x14ac:dyDescent="0.3">
      <c r="A685" s="10">
        <v>38.196817369999998</v>
      </c>
      <c r="B685" s="5">
        <f t="shared" si="21"/>
        <v>0.47776253746184238</v>
      </c>
      <c r="C685" s="5">
        <f t="shared" si="20"/>
        <v>0.22825704220197834</v>
      </c>
    </row>
    <row r="686" spans="1:3" ht="12.75" customHeight="1" thickBot="1" x14ac:dyDescent="0.3">
      <c r="A686" s="10">
        <v>40.448385109999997</v>
      </c>
      <c r="B686" s="5">
        <f t="shared" si="21"/>
        <v>2.7293302774618411</v>
      </c>
      <c r="C686" s="5">
        <f t="shared" si="20"/>
        <v>7.4492437634699309</v>
      </c>
    </row>
    <row r="687" spans="1:3" ht="12.75" customHeight="1" thickBot="1" x14ac:dyDescent="0.3">
      <c r="A687" s="10">
        <v>12.24242271</v>
      </c>
      <c r="B687" s="5">
        <f t="shared" si="21"/>
        <v>25.476632122538156</v>
      </c>
      <c r="C687" s="5">
        <f t="shared" si="20"/>
        <v>649.05878430714301</v>
      </c>
    </row>
    <row r="688" spans="1:3" ht="12.75" customHeight="1" thickBot="1" x14ac:dyDescent="0.3">
      <c r="A688" s="10">
        <v>50.511282680000001</v>
      </c>
      <c r="B688" s="5">
        <f t="shared" si="21"/>
        <v>12.792227847461845</v>
      </c>
      <c r="C688" s="5">
        <f t="shared" si="20"/>
        <v>163.64109330137831</v>
      </c>
    </row>
    <row r="689" spans="1:3" ht="12.75" customHeight="1" thickBot="1" x14ac:dyDescent="0.3">
      <c r="A689" s="10">
        <v>18.31902049</v>
      </c>
      <c r="B689" s="5">
        <f t="shared" si="21"/>
        <v>19.400034342538156</v>
      </c>
      <c r="C689" s="5">
        <f t="shared" si="20"/>
        <v>376.36133249165988</v>
      </c>
    </row>
    <row r="690" spans="1:3" ht="12.75" customHeight="1" thickBot="1" x14ac:dyDescent="0.3">
      <c r="A690" s="10">
        <v>43.60428787</v>
      </c>
      <c r="B690" s="5">
        <f t="shared" si="21"/>
        <v>5.8852330374618447</v>
      </c>
      <c r="C690" s="5">
        <f t="shared" si="20"/>
        <v>34.63596790523237</v>
      </c>
    </row>
    <row r="691" spans="1:3" ht="12.75" customHeight="1" thickBot="1" x14ac:dyDescent="0.3">
      <c r="A691" s="10">
        <v>27.45136213</v>
      </c>
      <c r="B691" s="5">
        <f t="shared" si="21"/>
        <v>10.267692702538156</v>
      </c>
      <c r="C691" s="5">
        <f t="shared" si="20"/>
        <v>105.4255134337553</v>
      </c>
    </row>
    <row r="692" spans="1:3" ht="12.75" customHeight="1" thickBot="1" x14ac:dyDescent="0.3">
      <c r="A692" s="10">
        <v>26.510614619999998</v>
      </c>
      <c r="B692" s="5">
        <f t="shared" si="21"/>
        <v>11.208440212538157</v>
      </c>
      <c r="C692" s="5">
        <f t="shared" si="20"/>
        <v>125.62913199804241</v>
      </c>
    </row>
    <row r="693" spans="1:3" ht="12.75" customHeight="1" thickBot="1" x14ac:dyDescent="0.3">
      <c r="A693" s="10">
        <v>24.958663860000001</v>
      </c>
      <c r="B693" s="5">
        <f t="shared" si="21"/>
        <v>12.760390972538154</v>
      </c>
      <c r="C693" s="5">
        <f t="shared" si="20"/>
        <v>162.82757777203321</v>
      </c>
    </row>
    <row r="694" spans="1:3" ht="12.75" customHeight="1" thickBot="1" x14ac:dyDescent="0.3">
      <c r="A694" s="10">
        <v>22.131825410000001</v>
      </c>
      <c r="B694" s="5">
        <f t="shared" si="21"/>
        <v>15.587229422538154</v>
      </c>
      <c r="C694" s="5">
        <f t="shared" si="20"/>
        <v>242.96172107083913</v>
      </c>
    </row>
    <row r="695" spans="1:3" ht="12.75" customHeight="1" thickBot="1" x14ac:dyDescent="0.3">
      <c r="A695" s="10">
        <v>42.40154106</v>
      </c>
      <c r="B695" s="5">
        <f t="shared" si="21"/>
        <v>4.682486227461844</v>
      </c>
      <c r="C695" s="5">
        <f t="shared" si="20"/>
        <v>21.925677270369853</v>
      </c>
    </row>
    <row r="696" spans="1:3" ht="12.75" customHeight="1" thickBot="1" x14ac:dyDescent="0.3">
      <c r="A696" s="10">
        <v>60.964780910000002</v>
      </c>
      <c r="B696" s="5">
        <f t="shared" si="21"/>
        <v>23.245726077461846</v>
      </c>
      <c r="C696" s="5">
        <f t="shared" si="20"/>
        <v>540.36378086838965</v>
      </c>
    </row>
    <row r="697" spans="1:3" ht="12.75" customHeight="1" thickBot="1" x14ac:dyDescent="0.3">
      <c r="A697" s="10">
        <v>62.378652789999997</v>
      </c>
      <c r="B697" s="5">
        <f t="shared" si="21"/>
        <v>24.659597957461841</v>
      </c>
      <c r="C697" s="5">
        <f t="shared" si="20"/>
        <v>608.09577142365617</v>
      </c>
    </row>
    <row r="698" spans="1:3" ht="12.75" customHeight="1" thickBot="1" x14ac:dyDescent="0.3">
      <c r="A698" s="10">
        <v>14.442653809999999</v>
      </c>
      <c r="B698" s="5">
        <f t="shared" si="21"/>
        <v>23.276401022538156</v>
      </c>
      <c r="C698" s="5">
        <f t="shared" si="20"/>
        <v>541.79084456201531</v>
      </c>
    </row>
    <row r="699" spans="1:3" ht="12.75" customHeight="1" thickBot="1" x14ac:dyDescent="0.3">
      <c r="A699" s="10">
        <v>41.986686290000002</v>
      </c>
      <c r="B699" s="5">
        <f t="shared" si="21"/>
        <v>4.2676314574618459</v>
      </c>
      <c r="C699" s="5">
        <f t="shared" si="20"/>
        <v>18.212678256717918</v>
      </c>
    </row>
    <row r="700" spans="1:3" ht="12.75" customHeight="1" thickBot="1" x14ac:dyDescent="0.3">
      <c r="A700" s="10">
        <v>12.510105729999999</v>
      </c>
      <c r="B700" s="5">
        <f t="shared" si="21"/>
        <v>25.208949102538156</v>
      </c>
      <c r="C700" s="5">
        <f t="shared" si="20"/>
        <v>635.49111485435935</v>
      </c>
    </row>
    <row r="701" spans="1:3" ht="12.75" customHeight="1" thickBot="1" x14ac:dyDescent="0.3">
      <c r="A701" s="10">
        <v>46.76437679</v>
      </c>
      <c r="B701" s="5">
        <f t="shared" si="21"/>
        <v>9.0453219574618444</v>
      </c>
      <c r="C701" s="5">
        <f t="shared" si="20"/>
        <v>81.81784931414137</v>
      </c>
    </row>
    <row r="702" spans="1:3" ht="12.75" customHeight="1" thickBot="1" x14ac:dyDescent="0.3">
      <c r="A702" s="10">
        <v>46.821235799999997</v>
      </c>
      <c r="B702" s="5">
        <f t="shared" si="21"/>
        <v>9.102180967461841</v>
      </c>
      <c r="C702" s="5">
        <f t="shared" si="20"/>
        <v>82.849698364424583</v>
      </c>
    </row>
    <row r="703" spans="1:3" ht="12.75" customHeight="1" thickBot="1" x14ac:dyDescent="0.3">
      <c r="A703" s="10">
        <v>48.137940630000003</v>
      </c>
      <c r="B703" s="5">
        <f t="shared" si="21"/>
        <v>10.418885797461847</v>
      </c>
      <c r="C703" s="5">
        <f t="shared" si="20"/>
        <v>108.55318126055219</v>
      </c>
    </row>
    <row r="704" spans="1:3" ht="12.75" customHeight="1" thickBot="1" x14ac:dyDescent="0.3">
      <c r="A704" s="10">
        <v>19.652585630000001</v>
      </c>
      <c r="B704" s="5">
        <f t="shared" si="21"/>
        <v>18.066469202538155</v>
      </c>
      <c r="C704" s="5">
        <f t="shared" si="20"/>
        <v>326.39730944625961</v>
      </c>
    </row>
    <row r="705" spans="1:3" ht="12.75" customHeight="1" thickBot="1" x14ac:dyDescent="0.3">
      <c r="A705" s="10">
        <v>44.457931590000001</v>
      </c>
      <c r="B705" s="5">
        <f t="shared" si="21"/>
        <v>6.7388767574618456</v>
      </c>
      <c r="C705" s="5">
        <f t="shared" si="20"/>
        <v>45.412459952259475</v>
      </c>
    </row>
    <row r="706" spans="1:3" ht="12.75" customHeight="1" thickBot="1" x14ac:dyDescent="0.3">
      <c r="A706" s="10">
        <v>50.383938219999997</v>
      </c>
      <c r="B706" s="5">
        <f t="shared" si="21"/>
        <v>12.664883387461842</v>
      </c>
      <c r="C706" s="5">
        <f t="shared" si="20"/>
        <v>160.39927121800693</v>
      </c>
    </row>
    <row r="707" spans="1:3" ht="12.75" customHeight="1" thickBot="1" x14ac:dyDescent="0.3">
      <c r="A707" s="10">
        <v>44.023104719999999</v>
      </c>
      <c r="B707" s="5">
        <f t="shared" si="21"/>
        <v>6.3040498874618436</v>
      </c>
      <c r="C707" s="5">
        <f t="shared" ref="C707:C770" si="22">POWER(B707,2)</f>
        <v>39.741044983607679</v>
      </c>
    </row>
    <row r="708" spans="1:3" ht="12.75" customHeight="1" thickBot="1" x14ac:dyDescent="0.3">
      <c r="A708" s="10">
        <v>13.20061857</v>
      </c>
      <c r="B708" s="5">
        <f t="shared" si="21"/>
        <v>24.518436262538156</v>
      </c>
      <c r="C708" s="5">
        <f t="shared" si="22"/>
        <v>601.15371676014604</v>
      </c>
    </row>
    <row r="709" spans="1:3" ht="12.75" customHeight="1" thickBot="1" x14ac:dyDescent="0.3">
      <c r="A709" s="10">
        <v>48.946846069999999</v>
      </c>
      <c r="B709" s="5">
        <f t="shared" si="21"/>
        <v>11.227791237461844</v>
      </c>
      <c r="C709" s="5">
        <f t="shared" si="22"/>
        <v>126.06329607202497</v>
      </c>
    </row>
    <row r="710" spans="1:3" ht="12.75" customHeight="1" thickBot="1" x14ac:dyDescent="0.3">
      <c r="A710" s="10">
        <v>18.59887672</v>
      </c>
      <c r="B710" s="5">
        <f t="shared" si="21"/>
        <v>19.120178112538156</v>
      </c>
      <c r="C710" s="5">
        <f t="shared" si="22"/>
        <v>365.58121105518313</v>
      </c>
    </row>
    <row r="711" spans="1:3" ht="12.75" customHeight="1" thickBot="1" x14ac:dyDescent="0.3">
      <c r="A711" s="10">
        <v>19.23814943</v>
      </c>
      <c r="B711" s="5">
        <f t="shared" si="21"/>
        <v>18.480905402538156</v>
      </c>
      <c r="C711" s="5">
        <f t="shared" si="22"/>
        <v>341.54386449756402</v>
      </c>
    </row>
    <row r="712" spans="1:3" ht="12.75" customHeight="1" thickBot="1" x14ac:dyDescent="0.3">
      <c r="A712" s="10">
        <v>66.310928450000006</v>
      </c>
      <c r="B712" s="5">
        <f t="shared" si="21"/>
        <v>28.59187361746185</v>
      </c>
      <c r="C712" s="5">
        <f t="shared" si="22"/>
        <v>817.49523695691096</v>
      </c>
    </row>
    <row r="713" spans="1:3" ht="12.75" customHeight="1" thickBot="1" x14ac:dyDescent="0.3">
      <c r="A713" s="10">
        <v>16.732158930000001</v>
      </c>
      <c r="B713" s="5">
        <f t="shared" ref="B713:B776" si="23">ABS(A713-$E$2)</f>
        <v>20.986895902538155</v>
      </c>
      <c r="C713" s="5">
        <f t="shared" si="22"/>
        <v>440.44979962397281</v>
      </c>
    </row>
    <row r="714" spans="1:3" ht="12.75" customHeight="1" thickBot="1" x14ac:dyDescent="0.3">
      <c r="A714" s="10">
        <v>45.235916009999997</v>
      </c>
      <c r="B714" s="5">
        <f t="shared" si="23"/>
        <v>7.5168611774618412</v>
      </c>
      <c r="C714" s="5">
        <f t="shared" si="22"/>
        <v>56.503201961233017</v>
      </c>
    </row>
    <row r="715" spans="1:3" ht="12.75" customHeight="1" thickBot="1" x14ac:dyDescent="0.3">
      <c r="A715" s="10">
        <v>26.984412429999999</v>
      </c>
      <c r="B715" s="5">
        <f t="shared" si="23"/>
        <v>10.734642402538157</v>
      </c>
      <c r="C715" s="5">
        <f t="shared" si="22"/>
        <v>115.23254751037017</v>
      </c>
    </row>
    <row r="716" spans="1:3" ht="12.75" customHeight="1" thickBot="1" x14ac:dyDescent="0.3">
      <c r="A716" s="10">
        <v>40.371898770000001</v>
      </c>
      <c r="B716" s="5">
        <f t="shared" si="23"/>
        <v>2.6528439374618458</v>
      </c>
      <c r="C716" s="5">
        <f t="shared" si="22"/>
        <v>7.0375809565280694</v>
      </c>
    </row>
    <row r="717" spans="1:3" ht="12.75" customHeight="1" thickBot="1" x14ac:dyDescent="0.3">
      <c r="A717" s="10">
        <v>23.08378926</v>
      </c>
      <c r="B717" s="5">
        <f t="shared" si="23"/>
        <v>14.635265572538156</v>
      </c>
      <c r="C717" s="5">
        <f t="shared" si="22"/>
        <v>214.19099837872059</v>
      </c>
    </row>
    <row r="718" spans="1:3" ht="12.75" customHeight="1" thickBot="1" x14ac:dyDescent="0.3">
      <c r="A718" s="10">
        <v>10</v>
      </c>
      <c r="B718" s="5">
        <f t="shared" si="23"/>
        <v>27.719054832538156</v>
      </c>
      <c r="C718" s="5">
        <f t="shared" si="22"/>
        <v>768.34600080925691</v>
      </c>
    </row>
    <row r="719" spans="1:3" ht="12.75" customHeight="1" thickBot="1" x14ac:dyDescent="0.3">
      <c r="A719" s="10">
        <v>23.73770631</v>
      </c>
      <c r="B719" s="5">
        <f t="shared" si="23"/>
        <v>13.981348522538156</v>
      </c>
      <c r="C719" s="5">
        <f t="shared" si="22"/>
        <v>195.47810650867987</v>
      </c>
    </row>
    <row r="720" spans="1:3" ht="12.75" customHeight="1" thickBot="1" x14ac:dyDescent="0.3">
      <c r="A720" s="10">
        <v>57.51066445</v>
      </c>
      <c r="B720" s="5">
        <f t="shared" si="23"/>
        <v>19.791609617461845</v>
      </c>
      <c r="C720" s="5">
        <f t="shared" si="22"/>
        <v>391.70781125000821</v>
      </c>
    </row>
    <row r="721" spans="1:3" ht="12.75" customHeight="1" thickBot="1" x14ac:dyDescent="0.3">
      <c r="A721" s="10">
        <v>63.971132920000002</v>
      </c>
      <c r="B721" s="5">
        <f t="shared" si="23"/>
        <v>26.252078087461847</v>
      </c>
      <c r="C721" s="5">
        <f t="shared" si="22"/>
        <v>689.17160391019445</v>
      </c>
    </row>
    <row r="722" spans="1:3" ht="12.75" customHeight="1" thickBot="1" x14ac:dyDescent="0.3">
      <c r="A722" s="10">
        <v>47.047511870000001</v>
      </c>
      <c r="B722" s="5">
        <f t="shared" si="23"/>
        <v>9.3284570374618454</v>
      </c>
      <c r="C722" s="5">
        <f t="shared" si="22"/>
        <v>87.020110699771436</v>
      </c>
    </row>
    <row r="723" spans="1:3" ht="12.75" customHeight="1" thickBot="1" x14ac:dyDescent="0.3">
      <c r="A723" s="10">
        <v>55.372341089999999</v>
      </c>
      <c r="B723" s="5">
        <f t="shared" si="23"/>
        <v>17.653286257461843</v>
      </c>
      <c r="C723" s="5">
        <f t="shared" si="22"/>
        <v>311.63851568789119</v>
      </c>
    </row>
    <row r="724" spans="1:3" ht="12.75" customHeight="1" thickBot="1" x14ac:dyDescent="0.3">
      <c r="A724" s="10">
        <v>39.945574800000003</v>
      </c>
      <c r="B724" s="5">
        <f t="shared" si="23"/>
        <v>2.2265199674618472</v>
      </c>
      <c r="C724" s="5">
        <f t="shared" si="22"/>
        <v>4.957391165506305</v>
      </c>
    </row>
    <row r="725" spans="1:3" ht="12.75" customHeight="1" thickBot="1" x14ac:dyDescent="0.3">
      <c r="A725" s="10">
        <v>46.037614159999997</v>
      </c>
      <c r="B725" s="5">
        <f t="shared" si="23"/>
        <v>8.3185593274618412</v>
      </c>
      <c r="C725" s="5">
        <f t="shared" si="22"/>
        <v>69.198429284502396</v>
      </c>
    </row>
    <row r="726" spans="1:3" ht="12.75" customHeight="1" thickBot="1" x14ac:dyDescent="0.3">
      <c r="A726" s="10">
        <v>60.344775400000003</v>
      </c>
      <c r="B726" s="5">
        <f t="shared" si="23"/>
        <v>22.625720567461848</v>
      </c>
      <c r="C726" s="5">
        <f t="shared" si="22"/>
        <v>511.92323119686608</v>
      </c>
    </row>
    <row r="727" spans="1:3" ht="12.75" customHeight="1" thickBot="1" x14ac:dyDescent="0.3">
      <c r="A727" s="10">
        <v>44.15829772</v>
      </c>
      <c r="B727" s="5">
        <f t="shared" si="23"/>
        <v>6.4392428874618446</v>
      </c>
      <c r="C727" s="5">
        <f t="shared" si="22"/>
        <v>41.463848963727955</v>
      </c>
    </row>
    <row r="728" spans="1:3" ht="12.75" customHeight="1" thickBot="1" x14ac:dyDescent="0.3">
      <c r="A728" s="10">
        <v>61.456445410000001</v>
      </c>
      <c r="B728" s="5">
        <f t="shared" si="23"/>
        <v>23.737390577461845</v>
      </c>
      <c r="C728" s="5">
        <f t="shared" si="22"/>
        <v>563.46371142697433</v>
      </c>
    </row>
    <row r="729" spans="1:3" ht="12.75" customHeight="1" thickBot="1" x14ac:dyDescent="0.3">
      <c r="A729" s="10">
        <v>44.437554570000003</v>
      </c>
      <c r="B729" s="5">
        <f t="shared" si="23"/>
        <v>6.7184997374618476</v>
      </c>
      <c r="C729" s="5">
        <f t="shared" si="22"/>
        <v>45.138238722274913</v>
      </c>
    </row>
    <row r="730" spans="1:3" ht="12.75" customHeight="1" thickBot="1" x14ac:dyDescent="0.3">
      <c r="A730" s="10">
        <v>54.919811119999999</v>
      </c>
      <c r="B730" s="5">
        <f t="shared" si="23"/>
        <v>17.200756287461843</v>
      </c>
      <c r="C730" s="5">
        <f t="shared" si="22"/>
        <v>295.86601686065814</v>
      </c>
    </row>
    <row r="731" spans="1:3" ht="12.75" customHeight="1" thickBot="1" x14ac:dyDescent="0.3">
      <c r="A731" s="10">
        <v>13.139507460000001</v>
      </c>
      <c r="B731" s="5">
        <f t="shared" si="23"/>
        <v>24.579547372538155</v>
      </c>
      <c r="C731" s="5">
        <f t="shared" si="22"/>
        <v>604.15414903884732</v>
      </c>
    </row>
    <row r="732" spans="1:3" ht="12.75" customHeight="1" thickBot="1" x14ac:dyDescent="0.3">
      <c r="A732" s="10">
        <v>13.60415675</v>
      </c>
      <c r="B732" s="5">
        <f t="shared" si="23"/>
        <v>24.114898082538154</v>
      </c>
      <c r="C732" s="5">
        <f t="shared" si="22"/>
        <v>581.52830953120235</v>
      </c>
    </row>
    <row r="733" spans="1:3" ht="12.75" customHeight="1" thickBot="1" x14ac:dyDescent="0.3">
      <c r="A733" s="10">
        <v>45.415364959999998</v>
      </c>
      <c r="B733" s="5">
        <f t="shared" si="23"/>
        <v>7.6963101274618424</v>
      </c>
      <c r="C733" s="5">
        <f t="shared" si="22"/>
        <v>59.233189578071723</v>
      </c>
    </row>
    <row r="734" spans="1:3" ht="12.75" customHeight="1" thickBot="1" x14ac:dyDescent="0.3">
      <c r="A734" s="10">
        <v>58.218312419999997</v>
      </c>
      <c r="B734" s="5">
        <f t="shared" si="23"/>
        <v>20.499257587461841</v>
      </c>
      <c r="C734" s="5">
        <f t="shared" si="22"/>
        <v>420.21956163711184</v>
      </c>
    </row>
    <row r="735" spans="1:3" ht="12.75" customHeight="1" thickBot="1" x14ac:dyDescent="0.3">
      <c r="A735" s="10">
        <v>43.996849750000003</v>
      </c>
      <c r="B735" s="5">
        <f t="shared" si="23"/>
        <v>6.277794917461847</v>
      </c>
      <c r="C735" s="5">
        <f t="shared" si="22"/>
        <v>39.410709025709799</v>
      </c>
    </row>
    <row r="736" spans="1:3" ht="12.75" customHeight="1" thickBot="1" x14ac:dyDescent="0.3">
      <c r="A736" s="10">
        <v>14.45312751</v>
      </c>
      <c r="B736" s="5">
        <f t="shared" si="23"/>
        <v>23.265927322538154</v>
      </c>
      <c r="C736" s="5">
        <f t="shared" si="22"/>
        <v>541.30337417762735</v>
      </c>
    </row>
    <row r="737" spans="1:3" ht="12.75" customHeight="1" thickBot="1" x14ac:dyDescent="0.3">
      <c r="A737" s="10">
        <v>60.468781630000002</v>
      </c>
      <c r="B737" s="5">
        <f t="shared" si="23"/>
        <v>22.749726797461847</v>
      </c>
      <c r="C737" s="5">
        <f t="shared" si="22"/>
        <v>517.55006935915367</v>
      </c>
    </row>
    <row r="738" spans="1:3" ht="12.75" customHeight="1" thickBot="1" x14ac:dyDescent="0.3">
      <c r="A738" s="10">
        <v>37.230014760000003</v>
      </c>
      <c r="B738" s="5">
        <f t="shared" si="23"/>
        <v>0.48904007253815251</v>
      </c>
      <c r="C738" s="5">
        <f t="shared" si="22"/>
        <v>0.23916019254812149</v>
      </c>
    </row>
    <row r="739" spans="1:3" ht="12.75" customHeight="1" thickBot="1" x14ac:dyDescent="0.3">
      <c r="A739" s="10">
        <v>43.128613389999998</v>
      </c>
      <c r="B739" s="5">
        <f t="shared" si="23"/>
        <v>5.4095585574618426</v>
      </c>
      <c r="C739" s="5">
        <f t="shared" si="22"/>
        <v>29.263323786608652</v>
      </c>
    </row>
    <row r="740" spans="1:3" ht="12.75" customHeight="1" thickBot="1" x14ac:dyDescent="0.3">
      <c r="A740" s="10">
        <v>46.975978310000002</v>
      </c>
      <c r="B740" s="5">
        <f t="shared" si="23"/>
        <v>9.2569234774618465</v>
      </c>
      <c r="C740" s="5">
        <f t="shared" si="22"/>
        <v>85.69063226758432</v>
      </c>
    </row>
    <row r="741" spans="1:3" ht="12.75" customHeight="1" thickBot="1" x14ac:dyDescent="0.3">
      <c r="A741" s="10">
        <v>52.485300209999998</v>
      </c>
      <c r="B741" s="5">
        <f t="shared" si="23"/>
        <v>14.766245377461843</v>
      </c>
      <c r="C741" s="5">
        <f t="shared" si="22"/>
        <v>218.04200254741323</v>
      </c>
    </row>
    <row r="742" spans="1:3" ht="12.75" customHeight="1" thickBot="1" x14ac:dyDescent="0.3">
      <c r="A742" s="10">
        <v>13.5501168</v>
      </c>
      <c r="B742" s="5">
        <f t="shared" si="23"/>
        <v>24.168938032538158</v>
      </c>
      <c r="C742" s="5">
        <f t="shared" si="22"/>
        <v>584.13756562066942</v>
      </c>
    </row>
    <row r="743" spans="1:3" ht="12.75" customHeight="1" thickBot="1" x14ac:dyDescent="0.3">
      <c r="A743" s="10">
        <v>45.944387370000001</v>
      </c>
      <c r="B743" s="5">
        <f t="shared" si="23"/>
        <v>8.2253325374618456</v>
      </c>
      <c r="C743" s="5">
        <f t="shared" si="22"/>
        <v>67.656095351828526</v>
      </c>
    </row>
    <row r="744" spans="1:3" ht="12.75" customHeight="1" thickBot="1" x14ac:dyDescent="0.3">
      <c r="A744" s="10">
        <v>24.29817044</v>
      </c>
      <c r="B744" s="5">
        <f t="shared" si="23"/>
        <v>13.420884392538156</v>
      </c>
      <c r="C744" s="5">
        <f t="shared" si="22"/>
        <v>180.12013787787427</v>
      </c>
    </row>
    <row r="745" spans="1:3" ht="12.75" customHeight="1" thickBot="1" x14ac:dyDescent="0.3">
      <c r="A745" s="10">
        <v>21.344954260000002</v>
      </c>
      <c r="B745" s="5">
        <f t="shared" si="23"/>
        <v>16.374100572538154</v>
      </c>
      <c r="C745" s="5">
        <f t="shared" si="22"/>
        <v>268.11116955959432</v>
      </c>
    </row>
    <row r="746" spans="1:3" ht="12.75" customHeight="1" thickBot="1" x14ac:dyDescent="0.3">
      <c r="A746" s="10">
        <v>10</v>
      </c>
      <c r="B746" s="5">
        <f t="shared" si="23"/>
        <v>27.719054832538156</v>
      </c>
      <c r="C746" s="5">
        <f t="shared" si="22"/>
        <v>768.34600080925691</v>
      </c>
    </row>
    <row r="747" spans="1:3" ht="12.75" customHeight="1" thickBot="1" x14ac:dyDescent="0.3">
      <c r="A747" s="10">
        <v>43.370891299999997</v>
      </c>
      <c r="B747" s="5">
        <f t="shared" si="23"/>
        <v>5.6518364674618411</v>
      </c>
      <c r="C747" s="5">
        <f t="shared" si="22"/>
        <v>31.943255454931542</v>
      </c>
    </row>
    <row r="748" spans="1:3" ht="12.75" customHeight="1" thickBot="1" x14ac:dyDescent="0.3">
      <c r="A748" s="10">
        <v>43.003400149999997</v>
      </c>
      <c r="B748" s="5">
        <f t="shared" si="23"/>
        <v>5.2843453174618418</v>
      </c>
      <c r="C748" s="5">
        <f t="shared" si="22"/>
        <v>27.924305434180894</v>
      </c>
    </row>
    <row r="749" spans="1:3" ht="12.75" customHeight="1" thickBot="1" x14ac:dyDescent="0.3">
      <c r="A749" s="10">
        <v>28.96425464</v>
      </c>
      <c r="B749" s="5">
        <f t="shared" si="23"/>
        <v>8.7548001925381556</v>
      </c>
      <c r="C749" s="5">
        <f t="shared" si="22"/>
        <v>76.646526411266123</v>
      </c>
    </row>
    <row r="750" spans="1:3" ht="12.75" customHeight="1" thickBot="1" x14ac:dyDescent="0.3">
      <c r="A750" s="10">
        <v>36.788597609999997</v>
      </c>
      <c r="B750" s="5">
        <f t="shared" si="23"/>
        <v>0.9304572225381591</v>
      </c>
      <c r="C750" s="5">
        <f t="shared" si="22"/>
        <v>0.8657506429734253</v>
      </c>
    </row>
    <row r="751" spans="1:3" ht="12.75" customHeight="1" thickBot="1" x14ac:dyDescent="0.3">
      <c r="A751" s="10">
        <v>49.422550569999999</v>
      </c>
      <c r="B751" s="5">
        <f t="shared" si="23"/>
        <v>11.703495737461843</v>
      </c>
      <c r="C751" s="5">
        <f t="shared" si="22"/>
        <v>136.97181247678753</v>
      </c>
    </row>
    <row r="752" spans="1:3" ht="12.75" customHeight="1" thickBot="1" x14ac:dyDescent="0.3">
      <c r="A752" s="10">
        <v>48.258252079999998</v>
      </c>
      <c r="B752" s="5">
        <f t="shared" si="23"/>
        <v>10.539197247461843</v>
      </c>
      <c r="C752" s="5">
        <f t="shared" si="22"/>
        <v>111.07467862090728</v>
      </c>
    </row>
    <row r="753" spans="1:3" ht="12.75" customHeight="1" thickBot="1" x14ac:dyDescent="0.3">
      <c r="A753" s="10">
        <v>42.277083920000003</v>
      </c>
      <c r="B753" s="5">
        <f t="shared" si="23"/>
        <v>4.558029087461847</v>
      </c>
      <c r="C753" s="5">
        <f t="shared" si="22"/>
        <v>20.775629162148277</v>
      </c>
    </row>
    <row r="754" spans="1:3" ht="12.75" customHeight="1" thickBot="1" x14ac:dyDescent="0.3">
      <c r="A754" s="10">
        <v>24.781494680000002</v>
      </c>
      <c r="B754" s="5">
        <f t="shared" si="23"/>
        <v>12.937560152538154</v>
      </c>
      <c r="C754" s="5">
        <f t="shared" si="22"/>
        <v>167.38046270054306</v>
      </c>
    </row>
    <row r="755" spans="1:3" ht="12.75" customHeight="1" thickBot="1" x14ac:dyDescent="0.3">
      <c r="A755" s="10">
        <v>42.435105720000003</v>
      </c>
      <c r="B755" s="5">
        <f t="shared" si="23"/>
        <v>4.7160508874618472</v>
      </c>
      <c r="C755" s="5">
        <f t="shared" si="22"/>
        <v>22.241135973129676</v>
      </c>
    </row>
    <row r="756" spans="1:3" ht="12.75" customHeight="1" thickBot="1" x14ac:dyDescent="0.3">
      <c r="A756" s="10">
        <v>19.714409830000001</v>
      </c>
      <c r="B756" s="5">
        <f t="shared" si="23"/>
        <v>18.004645002538155</v>
      </c>
      <c r="C756" s="5">
        <f t="shared" si="22"/>
        <v>324.16724166742216</v>
      </c>
    </row>
    <row r="757" spans="1:3" ht="12.75" customHeight="1" thickBot="1" x14ac:dyDescent="0.3">
      <c r="A757" s="10">
        <v>23.08912771</v>
      </c>
      <c r="B757" s="5">
        <f t="shared" si="23"/>
        <v>14.629927122538156</v>
      </c>
      <c r="C757" s="5">
        <f t="shared" si="22"/>
        <v>214.03476761077758</v>
      </c>
    </row>
    <row r="758" spans="1:3" ht="12.75" customHeight="1" thickBot="1" x14ac:dyDescent="0.3">
      <c r="A758" s="10">
        <v>25.58035061</v>
      </c>
      <c r="B758" s="5">
        <f t="shared" si="23"/>
        <v>12.138704222538156</v>
      </c>
      <c r="C758" s="5">
        <f t="shared" si="22"/>
        <v>147.34814020226565</v>
      </c>
    </row>
    <row r="759" spans="1:3" ht="12.75" customHeight="1" thickBot="1" x14ac:dyDescent="0.3">
      <c r="A759" s="10">
        <v>67.050668419999994</v>
      </c>
      <c r="B759" s="5">
        <f t="shared" si="23"/>
        <v>29.331613587461838</v>
      </c>
      <c r="C759" s="5">
        <f t="shared" si="22"/>
        <v>860.34355564417592</v>
      </c>
    </row>
    <row r="760" spans="1:3" ht="12.75" customHeight="1" thickBot="1" x14ac:dyDescent="0.3">
      <c r="A760" s="10">
        <v>42.456692920000002</v>
      </c>
      <c r="B760" s="5">
        <f t="shared" si="23"/>
        <v>4.7376380874618462</v>
      </c>
      <c r="C760" s="5">
        <f t="shared" si="22"/>
        <v>22.445214647769141</v>
      </c>
    </row>
    <row r="761" spans="1:3" ht="12.75" customHeight="1" thickBot="1" x14ac:dyDescent="0.3">
      <c r="A761" s="10">
        <v>13.567839409999999</v>
      </c>
      <c r="B761" s="5">
        <f t="shared" si="23"/>
        <v>24.151215422538158</v>
      </c>
      <c r="C761" s="5">
        <f t="shared" si="22"/>
        <v>583.28120638584494</v>
      </c>
    </row>
    <row r="762" spans="1:3" ht="12.75" customHeight="1" thickBot="1" x14ac:dyDescent="0.3">
      <c r="A762" s="10">
        <v>26.169394069999999</v>
      </c>
      <c r="B762" s="5">
        <f t="shared" si="23"/>
        <v>11.549660762538156</v>
      </c>
      <c r="C762" s="5">
        <f t="shared" si="22"/>
        <v>133.39466372971347</v>
      </c>
    </row>
    <row r="763" spans="1:3" ht="12.75" customHeight="1" thickBot="1" x14ac:dyDescent="0.3">
      <c r="A763" s="10">
        <v>15.98337428</v>
      </c>
      <c r="B763" s="5">
        <f t="shared" si="23"/>
        <v>21.735680552538156</v>
      </c>
      <c r="C763" s="5">
        <f t="shared" si="22"/>
        <v>472.4398090819854</v>
      </c>
    </row>
    <row r="764" spans="1:3" ht="12.75" customHeight="1" thickBot="1" x14ac:dyDescent="0.3">
      <c r="A764" s="10">
        <v>21.763293229999999</v>
      </c>
      <c r="B764" s="5">
        <f t="shared" si="23"/>
        <v>15.955761602538157</v>
      </c>
      <c r="C764" s="5">
        <f t="shared" si="22"/>
        <v>254.58632831703102</v>
      </c>
    </row>
    <row r="765" spans="1:3" ht="12.75" customHeight="1" thickBot="1" x14ac:dyDescent="0.3">
      <c r="A765" s="10">
        <v>53.307798660000003</v>
      </c>
      <c r="B765" s="5">
        <f t="shared" si="23"/>
        <v>15.588743827461848</v>
      </c>
      <c r="C765" s="5">
        <f t="shared" si="22"/>
        <v>243.00893411822986</v>
      </c>
    </row>
    <row r="766" spans="1:3" ht="12.75" customHeight="1" thickBot="1" x14ac:dyDescent="0.3">
      <c r="A766" s="10">
        <v>41.599606870000002</v>
      </c>
      <c r="B766" s="5">
        <f t="shared" si="23"/>
        <v>3.8805520374618467</v>
      </c>
      <c r="C766" s="5">
        <f t="shared" si="22"/>
        <v>15.058684115449291</v>
      </c>
    </row>
    <row r="767" spans="1:3" ht="12.75" customHeight="1" thickBot="1" x14ac:dyDescent="0.3">
      <c r="A767" s="10">
        <v>39.789678449999997</v>
      </c>
      <c r="B767" s="5">
        <f t="shared" si="23"/>
        <v>2.0706236174618411</v>
      </c>
      <c r="C767" s="5">
        <f t="shared" si="22"/>
        <v>4.2874821651907604</v>
      </c>
    </row>
    <row r="768" spans="1:3" ht="12.75" customHeight="1" thickBot="1" x14ac:dyDescent="0.3">
      <c r="A768" s="10">
        <v>11.580539269999999</v>
      </c>
      <c r="B768" s="5">
        <f t="shared" si="23"/>
        <v>26.138515562538156</v>
      </c>
      <c r="C768" s="5">
        <f t="shared" si="22"/>
        <v>683.22199581304938</v>
      </c>
    </row>
    <row r="769" spans="1:3" ht="12.75" customHeight="1" thickBot="1" x14ac:dyDescent="0.3">
      <c r="A769" s="10">
        <v>55.179818429999997</v>
      </c>
      <c r="B769" s="5">
        <f t="shared" si="23"/>
        <v>17.460763597461842</v>
      </c>
      <c r="C769" s="5">
        <f t="shared" si="22"/>
        <v>304.87826540644858</v>
      </c>
    </row>
    <row r="770" spans="1:3" ht="12.75" customHeight="1" thickBot="1" x14ac:dyDescent="0.3">
      <c r="A770" s="10">
        <v>33.981624310000001</v>
      </c>
      <c r="B770" s="5">
        <f t="shared" si="23"/>
        <v>3.7374305225381548</v>
      </c>
      <c r="C770" s="5">
        <f t="shared" si="22"/>
        <v>13.968386910799826</v>
      </c>
    </row>
    <row r="771" spans="1:3" ht="12.75" customHeight="1" thickBot="1" x14ac:dyDescent="0.3">
      <c r="A771" s="10">
        <v>22.276827340000001</v>
      </c>
      <c r="B771" s="5">
        <f t="shared" si="23"/>
        <v>15.442227492538155</v>
      </c>
      <c r="C771" s="5">
        <f t="shared" ref="C771:C834" si="24">POWER(B771,2)</f>
        <v>238.46238993130123</v>
      </c>
    </row>
    <row r="772" spans="1:3" ht="12.75" customHeight="1" thickBot="1" x14ac:dyDescent="0.3">
      <c r="A772" s="10">
        <v>41.36937863</v>
      </c>
      <c r="B772" s="5">
        <f t="shared" si="23"/>
        <v>3.6503237974618443</v>
      </c>
      <c r="C772" s="5">
        <f t="shared" si="24"/>
        <v>13.32486382631626</v>
      </c>
    </row>
    <row r="773" spans="1:3" ht="12.75" customHeight="1" thickBot="1" x14ac:dyDescent="0.3">
      <c r="A773" s="10">
        <v>12.74076808</v>
      </c>
      <c r="B773" s="5">
        <f t="shared" si="23"/>
        <v>24.978286752538153</v>
      </c>
      <c r="C773" s="5">
        <f t="shared" si="24"/>
        <v>623.91480909202301</v>
      </c>
    </row>
    <row r="774" spans="1:3" ht="12.75" customHeight="1" thickBot="1" x14ac:dyDescent="0.3">
      <c r="A774" s="10">
        <v>18.619640260000001</v>
      </c>
      <c r="B774" s="5">
        <f t="shared" si="23"/>
        <v>19.099414572538155</v>
      </c>
      <c r="C774" s="5">
        <f t="shared" si="24"/>
        <v>364.78763701368285</v>
      </c>
    </row>
    <row r="775" spans="1:3" ht="12.75" customHeight="1" thickBot="1" x14ac:dyDescent="0.3">
      <c r="A775" s="10">
        <v>13.065513409999999</v>
      </c>
      <c r="B775" s="5">
        <f t="shared" si="23"/>
        <v>24.653541422538154</v>
      </c>
      <c r="C775" s="5">
        <f t="shared" si="24"/>
        <v>607.79710467280461</v>
      </c>
    </row>
    <row r="776" spans="1:3" ht="12.75" customHeight="1" thickBot="1" x14ac:dyDescent="0.3">
      <c r="A776" s="10">
        <v>23.178193369999999</v>
      </c>
      <c r="B776" s="5">
        <f t="shared" si="23"/>
        <v>14.540861462538157</v>
      </c>
      <c r="C776" s="5">
        <f t="shared" si="24"/>
        <v>211.4366520727273</v>
      </c>
    </row>
    <row r="777" spans="1:3" ht="12.75" customHeight="1" thickBot="1" x14ac:dyDescent="0.3">
      <c r="A777" s="10">
        <v>26.77886166</v>
      </c>
      <c r="B777" s="5">
        <f t="shared" ref="B777:B840" si="25">ABS(A777-$E$2)</f>
        <v>10.940193172538155</v>
      </c>
      <c r="C777" s="5">
        <f t="shared" si="24"/>
        <v>119.68782665245047</v>
      </c>
    </row>
    <row r="778" spans="1:3" ht="12.75" customHeight="1" thickBot="1" x14ac:dyDescent="0.3">
      <c r="A778" s="10">
        <v>50.436750930000002</v>
      </c>
      <c r="B778" s="5">
        <f t="shared" si="25"/>
        <v>12.717696097461847</v>
      </c>
      <c r="C778" s="5">
        <f t="shared" si="24"/>
        <v>161.73979402739627</v>
      </c>
    </row>
    <row r="779" spans="1:3" ht="12.75" customHeight="1" thickBot="1" x14ac:dyDescent="0.3">
      <c r="A779" s="10">
        <v>43.205404739999999</v>
      </c>
      <c r="B779" s="5">
        <f t="shared" si="25"/>
        <v>5.4863499074618431</v>
      </c>
      <c r="C779" s="5">
        <f t="shared" si="24"/>
        <v>30.100035307106573</v>
      </c>
    </row>
    <row r="780" spans="1:3" ht="12.75" customHeight="1" thickBot="1" x14ac:dyDescent="0.3">
      <c r="A780" s="10">
        <v>43.260218510000001</v>
      </c>
      <c r="B780" s="5">
        <f t="shared" si="25"/>
        <v>5.5411636774618458</v>
      </c>
      <c r="C780" s="5">
        <f t="shared" si="24"/>
        <v>30.704494900422485</v>
      </c>
    </row>
    <row r="781" spans="1:3" ht="12.75" customHeight="1" thickBot="1" x14ac:dyDescent="0.3">
      <c r="A781" s="10">
        <v>53.41741571</v>
      </c>
      <c r="B781" s="5">
        <f t="shared" si="25"/>
        <v>15.698360877461845</v>
      </c>
      <c r="C781" s="5">
        <f t="shared" si="24"/>
        <v>246.43853423902462</v>
      </c>
    </row>
    <row r="782" spans="1:3" ht="12.75" customHeight="1" thickBot="1" x14ac:dyDescent="0.3">
      <c r="A782" s="10">
        <v>17.47793205</v>
      </c>
      <c r="B782" s="5">
        <f t="shared" si="25"/>
        <v>20.241122782538156</v>
      </c>
      <c r="C782" s="5">
        <f t="shared" si="24"/>
        <v>409.70305149778517</v>
      </c>
    </row>
    <row r="783" spans="1:3" ht="12.75" customHeight="1" thickBot="1" x14ac:dyDescent="0.3">
      <c r="A783" s="10">
        <v>55.439271740000002</v>
      </c>
      <c r="B783" s="5">
        <f t="shared" si="25"/>
        <v>17.720216907461847</v>
      </c>
      <c r="C783" s="5">
        <f t="shared" si="24"/>
        <v>314.00608724749668</v>
      </c>
    </row>
    <row r="784" spans="1:3" ht="12.75" customHeight="1" thickBot="1" x14ac:dyDescent="0.3">
      <c r="A784" s="10">
        <v>16.03702659</v>
      </c>
      <c r="B784" s="5">
        <f t="shared" si="25"/>
        <v>21.682028242538156</v>
      </c>
      <c r="C784" s="5">
        <f t="shared" si="24"/>
        <v>470.11034871022224</v>
      </c>
    </row>
    <row r="785" spans="1:3" ht="12.75" customHeight="1" thickBot="1" x14ac:dyDescent="0.3">
      <c r="A785" s="10">
        <v>49.127184190000001</v>
      </c>
      <c r="B785" s="5">
        <f t="shared" si="25"/>
        <v>11.408129357461846</v>
      </c>
      <c r="C785" s="5">
        <f t="shared" si="24"/>
        <v>130.14541543658282</v>
      </c>
    </row>
    <row r="786" spans="1:3" ht="12.75" customHeight="1" thickBot="1" x14ac:dyDescent="0.3">
      <c r="A786" s="10">
        <v>41.363396700000003</v>
      </c>
      <c r="B786" s="5">
        <f t="shared" si="25"/>
        <v>3.6443418674618471</v>
      </c>
      <c r="C786" s="5">
        <f t="shared" si="24"/>
        <v>13.281227646935303</v>
      </c>
    </row>
    <row r="787" spans="1:3" ht="12.75" customHeight="1" thickBot="1" x14ac:dyDescent="0.3">
      <c r="A787" s="10">
        <v>13.05130529</v>
      </c>
      <c r="B787" s="5">
        <f t="shared" si="25"/>
        <v>24.667749542538154</v>
      </c>
      <c r="C787" s="5">
        <f t="shared" si="24"/>
        <v>608.49786749339125</v>
      </c>
    </row>
    <row r="788" spans="1:3" ht="12.75" customHeight="1" thickBot="1" x14ac:dyDescent="0.3">
      <c r="A788" s="10">
        <v>45.918973010000002</v>
      </c>
      <c r="B788" s="5">
        <f t="shared" si="25"/>
        <v>8.1999181774618464</v>
      </c>
      <c r="C788" s="5">
        <f t="shared" si="24"/>
        <v>67.238658117069207</v>
      </c>
    </row>
    <row r="789" spans="1:3" ht="12.75" customHeight="1" thickBot="1" x14ac:dyDescent="0.3">
      <c r="A789" s="10">
        <v>13.17296837</v>
      </c>
      <c r="B789" s="5">
        <f t="shared" si="25"/>
        <v>24.546086462538156</v>
      </c>
      <c r="C789" s="5">
        <f t="shared" si="24"/>
        <v>602.51036062639889</v>
      </c>
    </row>
    <row r="790" spans="1:3" ht="12.75" customHeight="1" thickBot="1" x14ac:dyDescent="0.3">
      <c r="A790" s="10">
        <v>19.698772569999999</v>
      </c>
      <c r="B790" s="5">
        <f t="shared" si="25"/>
        <v>18.020282262538156</v>
      </c>
      <c r="C790" s="5">
        <f t="shared" si="24"/>
        <v>324.7305728215473</v>
      </c>
    </row>
    <row r="791" spans="1:3" ht="12.75" customHeight="1" thickBot="1" x14ac:dyDescent="0.3">
      <c r="A791" s="10">
        <v>49.039845560000003</v>
      </c>
      <c r="B791" s="5">
        <f t="shared" si="25"/>
        <v>11.320790727461848</v>
      </c>
      <c r="C791" s="5">
        <f t="shared" si="24"/>
        <v>128.16030269498614</v>
      </c>
    </row>
    <row r="792" spans="1:3" ht="12.75" customHeight="1" thickBot="1" x14ac:dyDescent="0.3">
      <c r="A792" s="10">
        <v>16.925906470000001</v>
      </c>
      <c r="B792" s="5">
        <f t="shared" si="25"/>
        <v>20.793148362538155</v>
      </c>
      <c r="C792" s="5">
        <f t="shared" si="24"/>
        <v>432.35501882652312</v>
      </c>
    </row>
    <row r="793" spans="1:3" ht="12.75" customHeight="1" thickBot="1" x14ac:dyDescent="0.3">
      <c r="A793" s="10">
        <v>10.430312199999999</v>
      </c>
      <c r="B793" s="5">
        <f t="shared" si="25"/>
        <v>27.288742632538156</v>
      </c>
      <c r="C793" s="5">
        <f t="shared" si="24"/>
        <v>744.67547446490551</v>
      </c>
    </row>
    <row r="794" spans="1:3" ht="12.75" customHeight="1" thickBot="1" x14ac:dyDescent="0.3">
      <c r="A794" s="10">
        <v>42.8347391</v>
      </c>
      <c r="B794" s="5">
        <f t="shared" si="25"/>
        <v>5.1156842674618446</v>
      </c>
      <c r="C794" s="5">
        <f t="shared" si="24"/>
        <v>26.170225524356628</v>
      </c>
    </row>
    <row r="795" spans="1:3" ht="12.75" customHeight="1" thickBot="1" x14ac:dyDescent="0.3">
      <c r="A795" s="10">
        <v>43.73085451</v>
      </c>
      <c r="B795" s="5">
        <f t="shared" si="25"/>
        <v>6.0117996774618447</v>
      </c>
      <c r="C795" s="5">
        <f t="shared" si="24"/>
        <v>36.141735361930337</v>
      </c>
    </row>
    <row r="796" spans="1:3" ht="12.75" customHeight="1" thickBot="1" x14ac:dyDescent="0.3">
      <c r="A796" s="10">
        <v>13.160564770000001</v>
      </c>
      <c r="B796" s="5">
        <f t="shared" si="25"/>
        <v>24.558490062538155</v>
      </c>
      <c r="C796" s="5">
        <f t="shared" si="24"/>
        <v>603.1194341517853</v>
      </c>
    </row>
    <row r="797" spans="1:3" ht="12.75" customHeight="1" thickBot="1" x14ac:dyDescent="0.3">
      <c r="A797" s="10">
        <v>13.222636809999999</v>
      </c>
      <c r="B797" s="5">
        <f t="shared" si="25"/>
        <v>24.496418022538158</v>
      </c>
      <c r="C797" s="5">
        <f t="shared" si="24"/>
        <v>600.07449593493232</v>
      </c>
    </row>
    <row r="798" spans="1:3" ht="12.75" customHeight="1" thickBot="1" x14ac:dyDescent="0.3">
      <c r="A798" s="10">
        <v>12.81192381</v>
      </c>
      <c r="B798" s="5">
        <f t="shared" si="25"/>
        <v>24.907131022538156</v>
      </c>
      <c r="C798" s="5">
        <f t="shared" si="24"/>
        <v>620.36517577388258</v>
      </c>
    </row>
    <row r="799" spans="1:3" ht="12.75" customHeight="1" thickBot="1" x14ac:dyDescent="0.3">
      <c r="A799" s="10">
        <v>55.712589960000003</v>
      </c>
      <c r="B799" s="5">
        <f t="shared" si="25"/>
        <v>17.993535127461847</v>
      </c>
      <c r="C799" s="5">
        <f t="shared" si="24"/>
        <v>323.76730638320345</v>
      </c>
    </row>
    <row r="800" spans="1:3" ht="12.75" customHeight="1" thickBot="1" x14ac:dyDescent="0.3">
      <c r="A800" s="10">
        <v>21.464013380000001</v>
      </c>
      <c r="B800" s="5">
        <f t="shared" si="25"/>
        <v>16.255041452538155</v>
      </c>
      <c r="C800" s="5">
        <f t="shared" si="24"/>
        <v>264.22637262373371</v>
      </c>
    </row>
    <row r="801" spans="1:3" ht="12.75" customHeight="1" thickBot="1" x14ac:dyDescent="0.3">
      <c r="A801" s="10">
        <v>54.914343879999997</v>
      </c>
      <c r="B801" s="5">
        <f t="shared" si="25"/>
        <v>17.195289047461841</v>
      </c>
      <c r="C801" s="5">
        <f t="shared" si="24"/>
        <v>295.67796542576116</v>
      </c>
    </row>
    <row r="802" spans="1:3" ht="12.75" customHeight="1" thickBot="1" x14ac:dyDescent="0.3">
      <c r="A802" s="10">
        <v>54.141804120000003</v>
      </c>
      <c r="B802" s="5">
        <f t="shared" si="25"/>
        <v>16.422749287461848</v>
      </c>
      <c r="C802" s="5">
        <f t="shared" si="24"/>
        <v>269.70669415882861</v>
      </c>
    </row>
    <row r="803" spans="1:3" ht="12.75" customHeight="1" thickBot="1" x14ac:dyDescent="0.3">
      <c r="A803" s="10">
        <v>61.235313580000003</v>
      </c>
      <c r="B803" s="5">
        <f t="shared" si="25"/>
        <v>23.516258747461848</v>
      </c>
      <c r="C803" s="5">
        <f t="shared" si="24"/>
        <v>553.01442547757586</v>
      </c>
    </row>
    <row r="804" spans="1:3" ht="12.75" customHeight="1" thickBot="1" x14ac:dyDescent="0.3">
      <c r="A804" s="10">
        <v>39.012892819999998</v>
      </c>
      <c r="B804" s="5">
        <f t="shared" si="25"/>
        <v>1.293837987461842</v>
      </c>
      <c r="C804" s="5">
        <f t="shared" si="24"/>
        <v>1.6740167377993096</v>
      </c>
    </row>
    <row r="805" spans="1:3" ht="12.75" customHeight="1" thickBot="1" x14ac:dyDescent="0.3">
      <c r="A805" s="10">
        <v>46.710984179999997</v>
      </c>
      <c r="B805" s="5">
        <f t="shared" si="25"/>
        <v>8.9919293474618414</v>
      </c>
      <c r="C805" s="5">
        <f t="shared" si="24"/>
        <v>80.854793389745538</v>
      </c>
    </row>
    <row r="806" spans="1:3" ht="12.75" customHeight="1" thickBot="1" x14ac:dyDescent="0.3">
      <c r="A806" s="10">
        <v>10.675036499999999</v>
      </c>
      <c r="B806" s="5">
        <f t="shared" si="25"/>
        <v>27.044018332538158</v>
      </c>
      <c r="C806" s="5">
        <f t="shared" si="24"/>
        <v>731.37892757066004</v>
      </c>
    </row>
    <row r="807" spans="1:3" ht="12.75" customHeight="1" thickBot="1" x14ac:dyDescent="0.3">
      <c r="A807" s="10">
        <v>43.229510169999998</v>
      </c>
      <c r="B807" s="5">
        <f t="shared" si="25"/>
        <v>5.5104553374618419</v>
      </c>
      <c r="C807" s="5">
        <f t="shared" si="24"/>
        <v>30.365118026161703</v>
      </c>
    </row>
    <row r="808" spans="1:3" ht="12.75" customHeight="1" thickBot="1" x14ac:dyDescent="0.3">
      <c r="A808" s="10">
        <v>59.432373439999999</v>
      </c>
      <c r="B808" s="5">
        <f t="shared" si="25"/>
        <v>21.713318607461844</v>
      </c>
      <c r="C808" s="5">
        <f t="shared" si="24"/>
        <v>471.46820494914874</v>
      </c>
    </row>
    <row r="809" spans="1:3" ht="12.75" customHeight="1" thickBot="1" x14ac:dyDescent="0.3">
      <c r="A809" s="10">
        <v>45.073376209999999</v>
      </c>
      <c r="B809" s="5">
        <f t="shared" si="25"/>
        <v>7.3543213774618437</v>
      </c>
      <c r="C809" s="5">
        <f t="shared" si="24"/>
        <v>54.08604292299227</v>
      </c>
    </row>
    <row r="810" spans="1:3" ht="12.75" customHeight="1" thickBot="1" x14ac:dyDescent="0.3">
      <c r="A810" s="10">
        <v>23.241658210000001</v>
      </c>
      <c r="B810" s="5">
        <f t="shared" si="25"/>
        <v>14.477396622538155</v>
      </c>
      <c r="C810" s="5">
        <f t="shared" si="24"/>
        <v>209.59501296627917</v>
      </c>
    </row>
    <row r="811" spans="1:3" ht="12.75" customHeight="1" thickBot="1" x14ac:dyDescent="0.3">
      <c r="A811" s="10">
        <v>43.164403489999998</v>
      </c>
      <c r="B811" s="5">
        <f t="shared" si="25"/>
        <v>5.4453486574618424</v>
      </c>
      <c r="C811" s="5">
        <f t="shared" si="24"/>
        <v>29.651822001321488</v>
      </c>
    </row>
    <row r="812" spans="1:3" ht="12.75" customHeight="1" thickBot="1" x14ac:dyDescent="0.3">
      <c r="A812" s="10">
        <v>52.097316640000003</v>
      </c>
      <c r="B812" s="5">
        <f t="shared" si="25"/>
        <v>14.378261807461847</v>
      </c>
      <c r="C812" s="5">
        <f t="shared" si="24"/>
        <v>206.73441260391601</v>
      </c>
    </row>
    <row r="813" spans="1:3" ht="12.75" customHeight="1" thickBot="1" x14ac:dyDescent="0.3">
      <c r="A813" s="10">
        <v>13.36404076</v>
      </c>
      <c r="B813" s="5">
        <f t="shared" si="25"/>
        <v>24.355014072538154</v>
      </c>
      <c r="C813" s="5">
        <f t="shared" si="24"/>
        <v>593.16671047353157</v>
      </c>
    </row>
    <row r="814" spans="1:3" ht="12.75" customHeight="1" thickBot="1" x14ac:dyDescent="0.3">
      <c r="A814" s="10">
        <v>44.747885529999998</v>
      </c>
      <c r="B814" s="5">
        <f t="shared" si="25"/>
        <v>7.0288306974618422</v>
      </c>
      <c r="C814" s="5">
        <f t="shared" si="24"/>
        <v>49.404460973581926</v>
      </c>
    </row>
    <row r="815" spans="1:3" ht="12.75" customHeight="1" thickBot="1" x14ac:dyDescent="0.3">
      <c r="A815" s="10">
        <v>50.519819470000002</v>
      </c>
      <c r="B815" s="5">
        <f t="shared" si="25"/>
        <v>12.800764637461846</v>
      </c>
      <c r="C815" s="5">
        <f t="shared" si="24"/>
        <v>163.8595753036937</v>
      </c>
    </row>
    <row r="816" spans="1:3" ht="12.75" customHeight="1" thickBot="1" x14ac:dyDescent="0.3">
      <c r="A816" s="10">
        <v>56.852395940000001</v>
      </c>
      <c r="B816" s="5">
        <f t="shared" si="25"/>
        <v>19.133341107461845</v>
      </c>
      <c r="C816" s="5">
        <f t="shared" si="24"/>
        <v>366.08474193448927</v>
      </c>
    </row>
    <row r="817" spans="1:3" ht="12.75" customHeight="1" thickBot="1" x14ac:dyDescent="0.3">
      <c r="A817" s="10">
        <v>15.27569551</v>
      </c>
      <c r="B817" s="5">
        <f t="shared" si="25"/>
        <v>22.443359322538157</v>
      </c>
      <c r="C817" s="5">
        <f t="shared" si="24"/>
        <v>503.70437768056041</v>
      </c>
    </row>
    <row r="818" spans="1:3" ht="12.75" customHeight="1" thickBot="1" x14ac:dyDescent="0.3">
      <c r="A818" s="10">
        <v>46.11029241</v>
      </c>
      <c r="B818" s="5">
        <f t="shared" si="25"/>
        <v>8.391237577461844</v>
      </c>
      <c r="C818" s="5">
        <f t="shared" si="24"/>
        <v>70.412868081407709</v>
      </c>
    </row>
    <row r="819" spans="1:3" ht="12.75" customHeight="1" thickBot="1" x14ac:dyDescent="0.3">
      <c r="A819" s="10">
        <v>56.41218662</v>
      </c>
      <c r="B819" s="5">
        <f t="shared" si="25"/>
        <v>18.693131787461844</v>
      </c>
      <c r="C819" s="5">
        <f t="shared" si="24"/>
        <v>349.43317602341642</v>
      </c>
    </row>
    <row r="820" spans="1:3" ht="12.75" customHeight="1" thickBot="1" x14ac:dyDescent="0.3">
      <c r="A820" s="10">
        <v>40.424332759999999</v>
      </c>
      <c r="B820" s="5">
        <f t="shared" si="25"/>
        <v>2.705277927461843</v>
      </c>
      <c r="C820" s="5">
        <f t="shared" si="24"/>
        <v>7.318528664812245</v>
      </c>
    </row>
    <row r="821" spans="1:3" ht="12.75" customHeight="1" thickBot="1" x14ac:dyDescent="0.3">
      <c r="A821" s="10">
        <v>48.089027430000002</v>
      </c>
      <c r="B821" s="5">
        <f t="shared" si="25"/>
        <v>10.369972597461846</v>
      </c>
      <c r="C821" s="5">
        <f t="shared" si="24"/>
        <v>107.53633167210958</v>
      </c>
    </row>
    <row r="822" spans="1:3" ht="12.75" customHeight="1" thickBot="1" x14ac:dyDescent="0.3">
      <c r="A822" s="10">
        <v>39.774239989999998</v>
      </c>
      <c r="B822" s="5">
        <f t="shared" si="25"/>
        <v>2.0551851574618425</v>
      </c>
      <c r="C822" s="5">
        <f t="shared" si="24"/>
        <v>4.2237860314514579</v>
      </c>
    </row>
    <row r="823" spans="1:3" ht="12.75" customHeight="1" thickBot="1" x14ac:dyDescent="0.3">
      <c r="A823" s="10">
        <v>32.450115310000001</v>
      </c>
      <c r="B823" s="5">
        <f t="shared" si="25"/>
        <v>5.2689395225381546</v>
      </c>
      <c r="C823" s="5">
        <f t="shared" si="24"/>
        <v>27.761723692164598</v>
      </c>
    </row>
    <row r="824" spans="1:3" ht="12.75" customHeight="1" thickBot="1" x14ac:dyDescent="0.3">
      <c r="A824" s="10">
        <v>33.566908929999997</v>
      </c>
      <c r="B824" s="5">
        <f t="shared" si="25"/>
        <v>4.1521459025381589</v>
      </c>
      <c r="C824" s="5">
        <f t="shared" si="24"/>
        <v>17.240315595964422</v>
      </c>
    </row>
    <row r="825" spans="1:3" ht="12.75" customHeight="1" thickBot="1" x14ac:dyDescent="0.3">
      <c r="A825" s="10">
        <v>23.695269939999999</v>
      </c>
      <c r="B825" s="5">
        <f t="shared" si="25"/>
        <v>14.023784892538156</v>
      </c>
      <c r="C825" s="5">
        <f t="shared" si="24"/>
        <v>196.66654271218144</v>
      </c>
    </row>
    <row r="826" spans="1:3" ht="12.75" customHeight="1" thickBot="1" x14ac:dyDescent="0.3">
      <c r="A826" s="10">
        <v>61.374697930000004</v>
      </c>
      <c r="B826" s="5">
        <f t="shared" si="25"/>
        <v>23.655643097461848</v>
      </c>
      <c r="C826" s="5">
        <f t="shared" si="24"/>
        <v>559.58945035449437</v>
      </c>
    </row>
    <row r="827" spans="1:3" ht="12.75" customHeight="1" thickBot="1" x14ac:dyDescent="0.3">
      <c r="A827" s="10">
        <v>26.852914269999999</v>
      </c>
      <c r="B827" s="5">
        <f t="shared" si="25"/>
        <v>10.866140562538156</v>
      </c>
      <c r="C827" s="5">
        <f t="shared" si="24"/>
        <v>118.07301072483703</v>
      </c>
    </row>
    <row r="828" spans="1:3" ht="12.75" customHeight="1" thickBot="1" x14ac:dyDescent="0.3">
      <c r="A828" s="10">
        <v>13.19084874</v>
      </c>
      <c r="B828" s="5">
        <f t="shared" si="25"/>
        <v>24.528206092538156</v>
      </c>
      <c r="C828" s="5">
        <f t="shared" si="24"/>
        <v>601.63289411802589</v>
      </c>
    </row>
    <row r="829" spans="1:3" ht="12.75" customHeight="1" thickBot="1" x14ac:dyDescent="0.3">
      <c r="A829" s="10">
        <v>13.307079010000001</v>
      </c>
      <c r="B829" s="5">
        <f t="shared" si="25"/>
        <v>24.411975822538153</v>
      </c>
      <c r="C829" s="5">
        <f t="shared" si="24"/>
        <v>595.94456356018736</v>
      </c>
    </row>
    <row r="830" spans="1:3" ht="12.75" customHeight="1" thickBot="1" x14ac:dyDescent="0.3">
      <c r="A830" s="10">
        <v>43.45564821</v>
      </c>
      <c r="B830" s="5">
        <f t="shared" si="25"/>
        <v>5.7365933774618441</v>
      </c>
      <c r="C830" s="5">
        <f t="shared" si="24"/>
        <v>32.908503578339086</v>
      </c>
    </row>
    <row r="831" spans="1:3" ht="12.75" customHeight="1" thickBot="1" x14ac:dyDescent="0.3">
      <c r="A831" s="10">
        <v>17.74808672</v>
      </c>
      <c r="B831" s="5">
        <f t="shared" si="25"/>
        <v>19.970968112538156</v>
      </c>
      <c r="C831" s="5">
        <f t="shared" si="24"/>
        <v>398.83956735201582</v>
      </c>
    </row>
    <row r="832" spans="1:3" ht="12.75" customHeight="1" thickBot="1" x14ac:dyDescent="0.3">
      <c r="A832" s="10">
        <v>51.036730339999998</v>
      </c>
      <c r="B832" s="5">
        <f t="shared" si="25"/>
        <v>13.317675507461843</v>
      </c>
      <c r="C832" s="5">
        <f t="shared" si="24"/>
        <v>177.36048092204905</v>
      </c>
    </row>
    <row r="833" spans="1:3" ht="12.75" customHeight="1" thickBot="1" x14ac:dyDescent="0.3">
      <c r="A833" s="10">
        <v>52.16664368</v>
      </c>
      <c r="B833" s="5">
        <f t="shared" si="25"/>
        <v>14.447588847461844</v>
      </c>
      <c r="C833" s="5">
        <f t="shared" si="24"/>
        <v>208.73282350530386</v>
      </c>
    </row>
    <row r="834" spans="1:3" ht="12.75" customHeight="1" thickBot="1" x14ac:dyDescent="0.3">
      <c r="A834" s="10">
        <v>57.838351500000002</v>
      </c>
      <c r="B834" s="5">
        <f t="shared" si="25"/>
        <v>20.119296667461846</v>
      </c>
      <c r="C834" s="5">
        <f t="shared" si="24"/>
        <v>404.78609839334132</v>
      </c>
    </row>
    <row r="835" spans="1:3" ht="12.75" customHeight="1" thickBot="1" x14ac:dyDescent="0.3">
      <c r="A835" s="10">
        <v>47.383594170000002</v>
      </c>
      <c r="B835" s="5">
        <f t="shared" si="25"/>
        <v>9.6645393374618465</v>
      </c>
      <c r="C835" s="5">
        <f t="shared" ref="C835:C898" si="26">POWER(B835,2)</f>
        <v>93.40332060534746</v>
      </c>
    </row>
    <row r="836" spans="1:3" ht="12.75" customHeight="1" thickBot="1" x14ac:dyDescent="0.3">
      <c r="A836" s="10">
        <v>36.702474170000002</v>
      </c>
      <c r="B836" s="5">
        <f t="shared" si="25"/>
        <v>1.0165806625381535</v>
      </c>
      <c r="C836" s="5">
        <f t="shared" si="26"/>
        <v>1.0334362434465112</v>
      </c>
    </row>
    <row r="837" spans="1:3" ht="12.75" customHeight="1" thickBot="1" x14ac:dyDescent="0.3">
      <c r="A837" s="10">
        <v>47.357280490000001</v>
      </c>
      <c r="B837" s="5">
        <f t="shared" si="25"/>
        <v>9.6382256574618452</v>
      </c>
      <c r="C837" s="5">
        <f t="shared" si="26"/>
        <v>92.895393824155818</v>
      </c>
    </row>
    <row r="838" spans="1:3" ht="12.75" customHeight="1" thickBot="1" x14ac:dyDescent="0.3">
      <c r="A838" s="10">
        <v>12.75918661</v>
      </c>
      <c r="B838" s="5">
        <f t="shared" si="25"/>
        <v>24.959868222538155</v>
      </c>
      <c r="C838" s="5">
        <f t="shared" si="26"/>
        <v>622.99502168646995</v>
      </c>
    </row>
    <row r="839" spans="1:3" ht="12.75" customHeight="1" thickBot="1" x14ac:dyDescent="0.3">
      <c r="A839" s="10">
        <v>50.572216910000002</v>
      </c>
      <c r="B839" s="5">
        <f t="shared" si="25"/>
        <v>12.853162077461846</v>
      </c>
      <c r="C839" s="5">
        <f t="shared" si="26"/>
        <v>165.20377538950331</v>
      </c>
    </row>
    <row r="840" spans="1:3" ht="12.75" customHeight="1" thickBot="1" x14ac:dyDescent="0.3">
      <c r="A840" s="10">
        <v>43.482342619999997</v>
      </c>
      <c r="B840" s="5">
        <f t="shared" si="25"/>
        <v>5.7632877874618416</v>
      </c>
      <c r="C840" s="5">
        <f t="shared" si="26"/>
        <v>33.215486121106807</v>
      </c>
    </row>
    <row r="841" spans="1:3" ht="12.75" customHeight="1" thickBot="1" x14ac:dyDescent="0.3">
      <c r="A841" s="10">
        <v>22.84809796</v>
      </c>
      <c r="B841" s="5">
        <f t="shared" ref="B841:B904" si="27">ABS(A841-$E$2)</f>
        <v>14.870956872538155</v>
      </c>
      <c r="C841" s="5">
        <f t="shared" si="26"/>
        <v>221.14535830488978</v>
      </c>
    </row>
    <row r="842" spans="1:3" ht="12.75" customHeight="1" thickBot="1" x14ac:dyDescent="0.3">
      <c r="A842" s="10">
        <v>47.850826189999999</v>
      </c>
      <c r="B842" s="5">
        <f t="shared" si="27"/>
        <v>10.131771357461844</v>
      </c>
      <c r="C842" s="5">
        <f t="shared" si="26"/>
        <v>102.65279083988422</v>
      </c>
    </row>
    <row r="843" spans="1:3" ht="12.75" customHeight="1" thickBot="1" x14ac:dyDescent="0.3">
      <c r="A843" s="10">
        <v>45.851309360000002</v>
      </c>
      <c r="B843" s="5">
        <f t="shared" si="27"/>
        <v>8.1322545274618463</v>
      </c>
      <c r="C843" s="5">
        <f t="shared" si="26"/>
        <v>66.133563699423703</v>
      </c>
    </row>
    <row r="844" spans="1:3" ht="12.75" customHeight="1" thickBot="1" x14ac:dyDescent="0.3">
      <c r="A844" s="10">
        <v>46.231700580000002</v>
      </c>
      <c r="B844" s="5">
        <f t="shared" si="27"/>
        <v>8.5126457474618462</v>
      </c>
      <c r="C844" s="5">
        <f t="shared" si="26"/>
        <v>72.465137621780258</v>
      </c>
    </row>
    <row r="845" spans="1:3" ht="12.75" customHeight="1" thickBot="1" x14ac:dyDescent="0.3">
      <c r="A845" s="10">
        <v>10</v>
      </c>
      <c r="B845" s="5">
        <f t="shared" si="27"/>
        <v>27.719054832538156</v>
      </c>
      <c r="C845" s="5">
        <f t="shared" si="26"/>
        <v>768.34600080925691</v>
      </c>
    </row>
    <row r="846" spans="1:3" ht="12.75" customHeight="1" thickBot="1" x14ac:dyDescent="0.3">
      <c r="A846" s="10">
        <v>59.096394910000001</v>
      </c>
      <c r="B846" s="5">
        <f t="shared" si="27"/>
        <v>21.377340077461845</v>
      </c>
      <c r="C846" s="5">
        <f t="shared" si="26"/>
        <v>456.9906687874564</v>
      </c>
    </row>
    <row r="847" spans="1:3" ht="12.75" customHeight="1" thickBot="1" x14ac:dyDescent="0.3">
      <c r="A847" s="10">
        <v>52.63936502</v>
      </c>
      <c r="B847" s="5">
        <f t="shared" si="27"/>
        <v>14.920310187461844</v>
      </c>
      <c r="C847" s="5">
        <f t="shared" si="26"/>
        <v>222.61565609007769</v>
      </c>
    </row>
    <row r="848" spans="1:3" ht="12.75" customHeight="1" thickBot="1" x14ac:dyDescent="0.3">
      <c r="A848" s="10">
        <v>45.939447639999997</v>
      </c>
      <c r="B848" s="5">
        <f t="shared" si="27"/>
        <v>8.2203928074618418</v>
      </c>
      <c r="C848" s="5">
        <f t="shared" si="26"/>
        <v>67.574857908970387</v>
      </c>
    </row>
    <row r="849" spans="1:3" ht="12.75" customHeight="1" thickBot="1" x14ac:dyDescent="0.3">
      <c r="A849" s="10">
        <v>16.267067839999999</v>
      </c>
      <c r="B849" s="5">
        <f t="shared" si="27"/>
        <v>21.451986992538156</v>
      </c>
      <c r="C849" s="5">
        <f t="shared" si="26"/>
        <v>460.18774592802623</v>
      </c>
    </row>
    <row r="850" spans="1:3" ht="12.75" customHeight="1" thickBot="1" x14ac:dyDescent="0.3">
      <c r="A850" s="10">
        <v>43.256623660000002</v>
      </c>
      <c r="B850" s="5">
        <f t="shared" si="27"/>
        <v>5.5375688274618469</v>
      </c>
      <c r="C850" s="5">
        <f t="shared" si="26"/>
        <v>30.664668518877175</v>
      </c>
    </row>
    <row r="851" spans="1:3" ht="12.75" customHeight="1" thickBot="1" x14ac:dyDescent="0.3">
      <c r="A851" s="10">
        <v>43.664253350000003</v>
      </c>
      <c r="B851" s="5">
        <f t="shared" si="27"/>
        <v>5.9451985174618471</v>
      </c>
      <c r="C851" s="5">
        <f t="shared" si="26"/>
        <v>35.345385412030545</v>
      </c>
    </row>
    <row r="852" spans="1:3" ht="12.75" customHeight="1" thickBot="1" x14ac:dyDescent="0.3">
      <c r="A852" s="10">
        <v>26.585866360000001</v>
      </c>
      <c r="B852" s="5">
        <f t="shared" si="27"/>
        <v>11.133188472538155</v>
      </c>
      <c r="C852" s="5">
        <f t="shared" si="26"/>
        <v>123.94788556505645</v>
      </c>
    </row>
    <row r="853" spans="1:3" ht="12.75" customHeight="1" thickBot="1" x14ac:dyDescent="0.3">
      <c r="A853" s="10">
        <v>13.19412275</v>
      </c>
      <c r="B853" s="5">
        <f t="shared" si="27"/>
        <v>24.524932082538157</v>
      </c>
      <c r="C853" s="5">
        <f t="shared" si="26"/>
        <v>601.47229365310943</v>
      </c>
    </row>
    <row r="854" spans="1:3" ht="12.75" customHeight="1" thickBot="1" x14ac:dyDescent="0.3">
      <c r="A854" s="10">
        <v>52.655579590000002</v>
      </c>
      <c r="B854" s="5">
        <f t="shared" si="27"/>
        <v>14.936524757461846</v>
      </c>
      <c r="C854" s="5">
        <f t="shared" si="26"/>
        <v>223.09977183027067</v>
      </c>
    </row>
    <row r="855" spans="1:3" ht="12.75" customHeight="1" thickBot="1" x14ac:dyDescent="0.3">
      <c r="A855" s="10">
        <v>46.789707069999999</v>
      </c>
      <c r="B855" s="5">
        <f t="shared" si="27"/>
        <v>9.070652237461843</v>
      </c>
      <c r="C855" s="5">
        <f t="shared" si="26"/>
        <v>82.276732012971536</v>
      </c>
    </row>
    <row r="856" spans="1:3" ht="12.75" customHeight="1" thickBot="1" x14ac:dyDescent="0.3">
      <c r="A856" s="10">
        <v>41.621962580000002</v>
      </c>
      <c r="B856" s="5">
        <f t="shared" si="27"/>
        <v>3.9029077474618461</v>
      </c>
      <c r="C856" s="5">
        <f t="shared" si="26"/>
        <v>15.232688885197701</v>
      </c>
    </row>
    <row r="857" spans="1:3" ht="12.75" customHeight="1" thickBot="1" x14ac:dyDescent="0.3">
      <c r="A857" s="10">
        <v>55.773539499999998</v>
      </c>
      <c r="B857" s="5">
        <f t="shared" si="27"/>
        <v>18.054484667461843</v>
      </c>
      <c r="C857" s="5">
        <f t="shared" si="26"/>
        <v>325.96441660761474</v>
      </c>
    </row>
    <row r="858" spans="1:3" ht="12.75" customHeight="1" thickBot="1" x14ac:dyDescent="0.3">
      <c r="A858" s="10">
        <v>50.096700519999999</v>
      </c>
      <c r="B858" s="5">
        <f t="shared" si="27"/>
        <v>12.377645687461843</v>
      </c>
      <c r="C858" s="5">
        <f t="shared" si="26"/>
        <v>153.20611276434278</v>
      </c>
    </row>
    <row r="859" spans="1:3" ht="12.75" customHeight="1" thickBot="1" x14ac:dyDescent="0.3">
      <c r="A859" s="10">
        <v>13.26495186</v>
      </c>
      <c r="B859" s="5">
        <f t="shared" si="27"/>
        <v>24.454102972538156</v>
      </c>
      <c r="C859" s="5">
        <f t="shared" si="26"/>
        <v>598.00315219149945</v>
      </c>
    </row>
    <row r="860" spans="1:3" ht="12.75" customHeight="1" thickBot="1" x14ac:dyDescent="0.3">
      <c r="A860" s="10">
        <v>50.183123700000003</v>
      </c>
      <c r="B860" s="5">
        <f t="shared" si="27"/>
        <v>12.464068867461847</v>
      </c>
      <c r="C860" s="5">
        <f t="shared" si="26"/>
        <v>155.35301273283167</v>
      </c>
    </row>
    <row r="861" spans="1:3" ht="12.75" customHeight="1" thickBot="1" x14ac:dyDescent="0.3">
      <c r="A861" s="10">
        <v>19.960125860000002</v>
      </c>
      <c r="B861" s="5">
        <f t="shared" si="27"/>
        <v>17.758928972538154</v>
      </c>
      <c r="C861" s="5">
        <f t="shared" si="26"/>
        <v>315.37955825165506</v>
      </c>
    </row>
    <row r="862" spans="1:3" ht="12.75" customHeight="1" thickBot="1" x14ac:dyDescent="0.3">
      <c r="A862" s="10">
        <v>36.251784749999999</v>
      </c>
      <c r="B862" s="5">
        <f t="shared" si="27"/>
        <v>1.4672700825381568</v>
      </c>
      <c r="C862" s="5">
        <f t="shared" si="26"/>
        <v>2.1528814951115294</v>
      </c>
    </row>
    <row r="863" spans="1:3" ht="12.75" customHeight="1" thickBot="1" x14ac:dyDescent="0.3">
      <c r="A863" s="10">
        <v>11.069907540000001</v>
      </c>
      <c r="B863" s="5">
        <f t="shared" si="27"/>
        <v>26.649147292538153</v>
      </c>
      <c r="C863" s="5">
        <f t="shared" si="26"/>
        <v>710.17705141939359</v>
      </c>
    </row>
    <row r="864" spans="1:3" ht="12.75" customHeight="1" thickBot="1" x14ac:dyDescent="0.3">
      <c r="A864" s="10">
        <v>60.094706819999999</v>
      </c>
      <c r="B864" s="5">
        <f t="shared" si="27"/>
        <v>22.375651987461843</v>
      </c>
      <c r="C864" s="5">
        <f t="shared" si="26"/>
        <v>500.66980186400514</v>
      </c>
    </row>
    <row r="865" spans="1:3" ht="12.75" customHeight="1" thickBot="1" x14ac:dyDescent="0.3">
      <c r="A865" s="10">
        <v>31.939837489999999</v>
      </c>
      <c r="B865" s="5">
        <f t="shared" si="27"/>
        <v>5.779217342538157</v>
      </c>
      <c r="C865" s="5">
        <f t="shared" si="26"/>
        <v>33.399353092293801</v>
      </c>
    </row>
    <row r="866" spans="1:3" ht="12.75" customHeight="1" thickBot="1" x14ac:dyDescent="0.3">
      <c r="A866" s="10">
        <v>54.293856890000001</v>
      </c>
      <c r="B866" s="5">
        <f t="shared" si="27"/>
        <v>16.574802057461845</v>
      </c>
      <c r="C866" s="5">
        <f t="shared" si="26"/>
        <v>274.72406324404142</v>
      </c>
    </row>
    <row r="867" spans="1:3" ht="12.75" customHeight="1" thickBot="1" x14ac:dyDescent="0.3">
      <c r="A867" s="10">
        <v>52.917691009999999</v>
      </c>
      <c r="B867" s="5">
        <f t="shared" si="27"/>
        <v>15.198636177461843</v>
      </c>
      <c r="C867" s="5">
        <f t="shared" si="26"/>
        <v>230.99854165485195</v>
      </c>
    </row>
    <row r="868" spans="1:3" ht="12.75" customHeight="1" thickBot="1" x14ac:dyDescent="0.3">
      <c r="A868" s="10">
        <v>24.512900160000001</v>
      </c>
      <c r="B868" s="5">
        <f t="shared" si="27"/>
        <v>13.206154672538155</v>
      </c>
      <c r="C868" s="5">
        <f t="shared" si="26"/>
        <v>174.40252123500133</v>
      </c>
    </row>
    <row r="869" spans="1:3" ht="12.75" customHeight="1" thickBot="1" x14ac:dyDescent="0.3">
      <c r="A869" s="10">
        <v>51.73163031</v>
      </c>
      <c r="B869" s="5">
        <f t="shared" si="27"/>
        <v>14.012575477461844</v>
      </c>
      <c r="C869" s="5">
        <f t="shared" si="26"/>
        <v>196.35227151156502</v>
      </c>
    </row>
    <row r="870" spans="1:3" ht="12.75" customHeight="1" thickBot="1" x14ac:dyDescent="0.3">
      <c r="A870" s="10">
        <v>38.90686986</v>
      </c>
      <c r="B870" s="5">
        <f t="shared" si="27"/>
        <v>1.1878150274618449</v>
      </c>
      <c r="C870" s="5">
        <f t="shared" si="26"/>
        <v>1.4109045394641833</v>
      </c>
    </row>
    <row r="871" spans="1:3" ht="12.75" customHeight="1" thickBot="1" x14ac:dyDescent="0.3">
      <c r="A871" s="10">
        <v>36.723171499999999</v>
      </c>
      <c r="B871" s="5">
        <f t="shared" si="27"/>
        <v>0.9958833325381562</v>
      </c>
      <c r="C871" s="5">
        <f t="shared" si="26"/>
        <v>0.99178361202730381</v>
      </c>
    </row>
    <row r="872" spans="1:3" ht="12.75" customHeight="1" thickBot="1" x14ac:dyDescent="0.3">
      <c r="A872" s="10">
        <v>34.374309699999998</v>
      </c>
      <c r="B872" s="5">
        <f t="shared" si="27"/>
        <v>3.3447451325381579</v>
      </c>
      <c r="C872" s="5">
        <f t="shared" si="26"/>
        <v>11.187320001637699</v>
      </c>
    </row>
    <row r="873" spans="1:3" ht="12.75" customHeight="1" thickBot="1" x14ac:dyDescent="0.3">
      <c r="A873" s="10">
        <v>49.727495699999999</v>
      </c>
      <c r="B873" s="5">
        <f t="shared" si="27"/>
        <v>12.008440867461843</v>
      </c>
      <c r="C873" s="5">
        <f t="shared" si="26"/>
        <v>144.20265206732773</v>
      </c>
    </row>
    <row r="874" spans="1:3" ht="12.75" customHeight="1" thickBot="1" x14ac:dyDescent="0.3">
      <c r="A874" s="10">
        <v>41.088486789999997</v>
      </c>
      <c r="B874" s="5">
        <f t="shared" si="27"/>
        <v>3.3694319574618419</v>
      </c>
      <c r="C874" s="5">
        <f t="shared" si="26"/>
        <v>11.35307171596514</v>
      </c>
    </row>
    <row r="875" spans="1:3" ht="12.75" customHeight="1" thickBot="1" x14ac:dyDescent="0.3">
      <c r="A875" s="10">
        <v>61.13801978</v>
      </c>
      <c r="B875" s="5">
        <f t="shared" si="27"/>
        <v>23.418964947461845</v>
      </c>
      <c r="C875" s="5">
        <f t="shared" si="26"/>
        <v>548.44791921044657</v>
      </c>
    </row>
    <row r="876" spans="1:3" ht="12.75" customHeight="1" thickBot="1" x14ac:dyDescent="0.3">
      <c r="A876" s="10">
        <v>34.847238849999997</v>
      </c>
      <c r="B876" s="5">
        <f t="shared" si="27"/>
        <v>2.8718159825381591</v>
      </c>
      <c r="C876" s="5">
        <f t="shared" si="26"/>
        <v>8.2473270375616128</v>
      </c>
    </row>
    <row r="877" spans="1:3" ht="12.75" customHeight="1" thickBot="1" x14ac:dyDescent="0.3">
      <c r="A877" s="10">
        <v>13.655336549999999</v>
      </c>
      <c r="B877" s="5">
        <f t="shared" si="27"/>
        <v>24.063718282538154</v>
      </c>
      <c r="C877" s="5">
        <f t="shared" si="26"/>
        <v>579.06253758136097</v>
      </c>
    </row>
    <row r="878" spans="1:3" ht="12.75" customHeight="1" thickBot="1" x14ac:dyDescent="0.3">
      <c r="A878" s="10">
        <v>31.74255264</v>
      </c>
      <c r="B878" s="5">
        <f t="shared" si="27"/>
        <v>5.9765021925381561</v>
      </c>
      <c r="C878" s="5">
        <f t="shared" si="26"/>
        <v>35.718578457413386</v>
      </c>
    </row>
    <row r="879" spans="1:3" ht="12.75" customHeight="1" thickBot="1" x14ac:dyDescent="0.3">
      <c r="A879" s="10">
        <v>38.463906309999999</v>
      </c>
      <c r="B879" s="5">
        <f t="shared" si="27"/>
        <v>0.7448514774618431</v>
      </c>
      <c r="C879" s="5">
        <f t="shared" si="26"/>
        <v>0.55480372347709062</v>
      </c>
    </row>
    <row r="880" spans="1:3" ht="12.75" customHeight="1" thickBot="1" x14ac:dyDescent="0.3">
      <c r="A880" s="10">
        <v>59.40330342</v>
      </c>
      <c r="B880" s="5">
        <f t="shared" si="27"/>
        <v>21.684248587461845</v>
      </c>
      <c r="C880" s="5">
        <f t="shared" si="26"/>
        <v>470.20663680284099</v>
      </c>
    </row>
    <row r="881" spans="1:3" ht="12.75" customHeight="1" thickBot="1" x14ac:dyDescent="0.3">
      <c r="A881" s="10">
        <v>25.485317370000001</v>
      </c>
      <c r="B881" s="5">
        <f t="shared" si="27"/>
        <v>12.233737462538155</v>
      </c>
      <c r="C881" s="5">
        <f t="shared" si="26"/>
        <v>149.6643323023095</v>
      </c>
    </row>
    <row r="882" spans="1:3" ht="12.75" customHeight="1" thickBot="1" x14ac:dyDescent="0.3">
      <c r="A882" s="10">
        <v>50.489846780000001</v>
      </c>
      <c r="B882" s="5">
        <f t="shared" si="27"/>
        <v>12.770791947461845</v>
      </c>
      <c r="C882" s="5">
        <f t="shared" si="26"/>
        <v>163.0931269653563</v>
      </c>
    </row>
    <row r="883" spans="1:3" ht="12.75" customHeight="1" thickBot="1" x14ac:dyDescent="0.3">
      <c r="A883" s="10">
        <v>21.395359450000001</v>
      </c>
      <c r="B883" s="5">
        <f t="shared" si="27"/>
        <v>16.323695382538155</v>
      </c>
      <c r="C883" s="5">
        <f t="shared" si="26"/>
        <v>266.4630309418975</v>
      </c>
    </row>
    <row r="884" spans="1:3" ht="12.75" customHeight="1" thickBot="1" x14ac:dyDescent="0.3">
      <c r="A884" s="10">
        <v>16.536731400000001</v>
      </c>
      <c r="B884" s="5">
        <f t="shared" si="27"/>
        <v>21.182323432538155</v>
      </c>
      <c r="C884" s="5">
        <f t="shared" si="26"/>
        <v>448.69082600065502</v>
      </c>
    </row>
    <row r="885" spans="1:3" ht="12.75" customHeight="1" thickBot="1" x14ac:dyDescent="0.3">
      <c r="A885" s="10">
        <v>54.405782860000002</v>
      </c>
      <c r="B885" s="5">
        <f t="shared" si="27"/>
        <v>16.686728027461847</v>
      </c>
      <c r="C885" s="5">
        <f t="shared" si="26"/>
        <v>278.44689226248073</v>
      </c>
    </row>
    <row r="886" spans="1:3" ht="12.75" customHeight="1" thickBot="1" x14ac:dyDescent="0.3">
      <c r="A886" s="10">
        <v>41.23188115</v>
      </c>
      <c r="B886" s="5">
        <f t="shared" si="27"/>
        <v>3.5128263174618439</v>
      </c>
      <c r="C886" s="5">
        <f t="shared" si="26"/>
        <v>12.33994873665254</v>
      </c>
    </row>
    <row r="887" spans="1:3" ht="12.75" customHeight="1" thickBot="1" x14ac:dyDescent="0.3">
      <c r="A887" s="10">
        <v>50.170953900000001</v>
      </c>
      <c r="B887" s="5">
        <f t="shared" si="27"/>
        <v>12.451899067461845</v>
      </c>
      <c r="C887" s="5">
        <f t="shared" si="26"/>
        <v>155.04979038625717</v>
      </c>
    </row>
    <row r="888" spans="1:3" ht="12.75" customHeight="1" thickBot="1" x14ac:dyDescent="0.3">
      <c r="A888" s="10">
        <v>49.022913809999999</v>
      </c>
      <c r="B888" s="5">
        <f t="shared" si="27"/>
        <v>11.303858977461843</v>
      </c>
      <c r="C888" s="5">
        <f t="shared" si="26"/>
        <v>127.7772277823447</v>
      </c>
    </row>
    <row r="889" spans="1:3" ht="12.75" customHeight="1" thickBot="1" x14ac:dyDescent="0.3">
      <c r="A889" s="10">
        <v>12.917459210000001</v>
      </c>
      <c r="B889" s="5">
        <f t="shared" si="27"/>
        <v>24.801595622538155</v>
      </c>
      <c r="C889" s="5">
        <f t="shared" si="26"/>
        <v>615.11914542390377</v>
      </c>
    </row>
    <row r="890" spans="1:3" ht="12.75" customHeight="1" thickBot="1" x14ac:dyDescent="0.3">
      <c r="A890" s="10">
        <v>37.220271949999997</v>
      </c>
      <c r="B890" s="5">
        <f t="shared" si="27"/>
        <v>0.49878288253815839</v>
      </c>
      <c r="C890" s="5">
        <f t="shared" si="26"/>
        <v>0.24878436391307432</v>
      </c>
    </row>
    <row r="891" spans="1:3" ht="12.75" customHeight="1" thickBot="1" x14ac:dyDescent="0.3">
      <c r="A891" s="10">
        <v>20.385032970000001</v>
      </c>
      <c r="B891" s="5">
        <f t="shared" si="27"/>
        <v>17.334021862538155</v>
      </c>
      <c r="C891" s="5">
        <f t="shared" si="26"/>
        <v>300.46831393095073</v>
      </c>
    </row>
    <row r="892" spans="1:3" ht="12.75" customHeight="1" thickBot="1" x14ac:dyDescent="0.3">
      <c r="A892" s="10">
        <v>14.198027</v>
      </c>
      <c r="B892" s="5">
        <f t="shared" si="27"/>
        <v>23.521027832538156</v>
      </c>
      <c r="C892" s="5">
        <f t="shared" si="26"/>
        <v>553.23875029903456</v>
      </c>
    </row>
    <row r="893" spans="1:3" ht="12.75" customHeight="1" thickBot="1" x14ac:dyDescent="0.3">
      <c r="A893" s="10">
        <v>43.752621310000002</v>
      </c>
      <c r="B893" s="5">
        <f t="shared" si="27"/>
        <v>6.0335664774618465</v>
      </c>
      <c r="C893" s="5">
        <f t="shared" si="26"/>
        <v>36.403924437951353</v>
      </c>
    </row>
    <row r="894" spans="1:3" ht="12.75" customHeight="1" thickBot="1" x14ac:dyDescent="0.3">
      <c r="A894" s="10">
        <v>27.926738289999999</v>
      </c>
      <c r="B894" s="5">
        <f t="shared" si="27"/>
        <v>9.7923165425381562</v>
      </c>
      <c r="C894" s="5">
        <f t="shared" si="26"/>
        <v>95.889463269266429</v>
      </c>
    </row>
    <row r="895" spans="1:3" ht="12.75" customHeight="1" thickBot="1" x14ac:dyDescent="0.3">
      <c r="A895" s="10">
        <v>18.096818760000001</v>
      </c>
      <c r="B895" s="5">
        <f t="shared" si="27"/>
        <v>19.622236072538154</v>
      </c>
      <c r="C895" s="5">
        <f t="shared" si="26"/>
        <v>385.03214848641755</v>
      </c>
    </row>
    <row r="896" spans="1:3" ht="12.75" customHeight="1" thickBot="1" x14ac:dyDescent="0.3">
      <c r="A896" s="10">
        <v>20.570680079999999</v>
      </c>
      <c r="B896" s="5">
        <f t="shared" si="27"/>
        <v>17.148374752538157</v>
      </c>
      <c r="C896" s="5">
        <f t="shared" si="26"/>
        <v>294.06675665348808</v>
      </c>
    </row>
    <row r="897" spans="1:3" ht="12.75" customHeight="1" thickBot="1" x14ac:dyDescent="0.3">
      <c r="A897" s="10">
        <v>12.65233409</v>
      </c>
      <c r="B897" s="5">
        <f t="shared" si="27"/>
        <v>25.066720742538156</v>
      </c>
      <c r="C897" s="5">
        <f t="shared" si="26"/>
        <v>628.34048878439262</v>
      </c>
    </row>
    <row r="898" spans="1:3" ht="12.75" customHeight="1" thickBot="1" x14ac:dyDescent="0.3">
      <c r="A898" s="10">
        <v>53.874751369999998</v>
      </c>
      <c r="B898" s="5">
        <f t="shared" si="27"/>
        <v>16.155696537461843</v>
      </c>
      <c r="C898" s="5">
        <f t="shared" si="26"/>
        <v>261.00653061055658</v>
      </c>
    </row>
    <row r="899" spans="1:3" ht="12.75" customHeight="1" thickBot="1" x14ac:dyDescent="0.3">
      <c r="A899" s="10">
        <v>46.491362199999998</v>
      </c>
      <c r="B899" s="5">
        <f t="shared" si="27"/>
        <v>8.7723073674618419</v>
      </c>
      <c r="C899" s="5">
        <f t="shared" ref="C899:C962" si="28">POWER(B899,2)</f>
        <v>76.953376549225311</v>
      </c>
    </row>
    <row r="900" spans="1:3" ht="12.75" customHeight="1" thickBot="1" x14ac:dyDescent="0.3">
      <c r="A900" s="10">
        <v>13.222636809999999</v>
      </c>
      <c r="B900" s="5">
        <f t="shared" si="27"/>
        <v>24.496418022538158</v>
      </c>
      <c r="C900" s="5">
        <f t="shared" si="28"/>
        <v>600.07449593493232</v>
      </c>
    </row>
    <row r="901" spans="1:3" ht="12.75" customHeight="1" thickBot="1" x14ac:dyDescent="0.3">
      <c r="A901" s="10">
        <v>13.890515730000001</v>
      </c>
      <c r="B901" s="5">
        <f t="shared" si="27"/>
        <v>23.828539102538155</v>
      </c>
      <c r="C901" s="5">
        <f t="shared" si="28"/>
        <v>567.79927576118985</v>
      </c>
    </row>
    <row r="902" spans="1:3" ht="12.75" customHeight="1" thickBot="1" x14ac:dyDescent="0.3">
      <c r="A902" s="10">
        <v>15.86809438</v>
      </c>
      <c r="B902" s="5">
        <f t="shared" si="27"/>
        <v>21.850960452538153</v>
      </c>
      <c r="C902" s="5">
        <f t="shared" si="28"/>
        <v>477.46447269838637</v>
      </c>
    </row>
    <row r="903" spans="1:3" ht="12.75" customHeight="1" thickBot="1" x14ac:dyDescent="0.3">
      <c r="A903" s="10">
        <v>48.618936249999997</v>
      </c>
      <c r="B903" s="5">
        <f t="shared" si="27"/>
        <v>10.899881417461842</v>
      </c>
      <c r="C903" s="5">
        <f t="shared" si="28"/>
        <v>118.80741491472996</v>
      </c>
    </row>
    <row r="904" spans="1:3" ht="12.75" customHeight="1" thickBot="1" x14ac:dyDescent="0.3">
      <c r="A904" s="10">
        <v>41.943453400000003</v>
      </c>
      <c r="B904" s="5">
        <f t="shared" si="27"/>
        <v>4.2243985674618472</v>
      </c>
      <c r="C904" s="5">
        <f t="shared" si="28"/>
        <v>17.845543256773706</v>
      </c>
    </row>
    <row r="905" spans="1:3" ht="12.75" customHeight="1" thickBot="1" x14ac:dyDescent="0.3">
      <c r="A905" s="10">
        <v>15.0157153</v>
      </c>
      <c r="B905" s="5">
        <f t="shared" ref="B905:B968" si="29">ABS(A905-$E$2)</f>
        <v>22.703339532538156</v>
      </c>
      <c r="C905" s="5">
        <f t="shared" si="28"/>
        <v>515.44162592970986</v>
      </c>
    </row>
    <row r="906" spans="1:3" ht="12.75" customHeight="1" thickBot="1" x14ac:dyDescent="0.3">
      <c r="A906" s="10">
        <v>13.92698038</v>
      </c>
      <c r="B906" s="5">
        <f t="shared" si="29"/>
        <v>23.792074452538156</v>
      </c>
      <c r="C906" s="5">
        <f t="shared" si="28"/>
        <v>566.0628067551188</v>
      </c>
    </row>
    <row r="907" spans="1:3" ht="12.75" customHeight="1" thickBot="1" x14ac:dyDescent="0.3">
      <c r="A907" s="10">
        <v>24.26611698</v>
      </c>
      <c r="B907" s="5">
        <f t="shared" si="29"/>
        <v>13.452937852538156</v>
      </c>
      <c r="C907" s="5">
        <f t="shared" si="28"/>
        <v>180.98153686425394</v>
      </c>
    </row>
    <row r="908" spans="1:3" ht="12.75" customHeight="1" thickBot="1" x14ac:dyDescent="0.3">
      <c r="A908" s="10">
        <v>43.794324969999998</v>
      </c>
      <c r="B908" s="5">
        <f t="shared" si="29"/>
        <v>6.0752701374618425</v>
      </c>
      <c r="C908" s="5">
        <f t="shared" si="28"/>
        <v>36.908907243135637</v>
      </c>
    </row>
    <row r="909" spans="1:3" ht="12.75" customHeight="1" thickBot="1" x14ac:dyDescent="0.3">
      <c r="A909" s="10">
        <v>45.666067580000004</v>
      </c>
      <c r="B909" s="5">
        <f t="shared" si="29"/>
        <v>7.9470127474618479</v>
      </c>
      <c r="C909" s="5">
        <f t="shared" si="28"/>
        <v>63.155011608321111</v>
      </c>
    </row>
    <row r="910" spans="1:3" ht="12.75" customHeight="1" thickBot="1" x14ac:dyDescent="0.3">
      <c r="A910" s="10">
        <v>52.649278770000002</v>
      </c>
      <c r="B910" s="5">
        <f t="shared" si="29"/>
        <v>14.930223937461847</v>
      </c>
      <c r="C910" s="5">
        <f t="shared" si="28"/>
        <v>222.91158682275872</v>
      </c>
    </row>
    <row r="911" spans="1:3" ht="12.75" customHeight="1" thickBot="1" x14ac:dyDescent="0.3">
      <c r="A911" s="10">
        <v>42.93761962</v>
      </c>
      <c r="B911" s="5">
        <f t="shared" si="29"/>
        <v>5.2185647874618439</v>
      </c>
      <c r="C911" s="5">
        <f t="shared" si="28"/>
        <v>27.233418440936681</v>
      </c>
    </row>
    <row r="912" spans="1:3" ht="12.75" customHeight="1" thickBot="1" x14ac:dyDescent="0.3">
      <c r="A912" s="10">
        <v>13.40468287</v>
      </c>
      <c r="B912" s="5">
        <f t="shared" si="29"/>
        <v>24.314371962538154</v>
      </c>
      <c r="C912" s="5">
        <f t="shared" si="28"/>
        <v>591.18868393266143</v>
      </c>
    </row>
    <row r="913" spans="1:3" ht="12.75" customHeight="1" thickBot="1" x14ac:dyDescent="0.3">
      <c r="A913" s="10">
        <v>54.206045940000003</v>
      </c>
      <c r="B913" s="5">
        <f t="shared" si="29"/>
        <v>16.486991107461847</v>
      </c>
      <c r="C913" s="5">
        <f t="shared" si="28"/>
        <v>271.820875777526</v>
      </c>
    </row>
    <row r="914" spans="1:3" ht="12.75" customHeight="1" thickBot="1" x14ac:dyDescent="0.3">
      <c r="A914" s="10">
        <v>14.757633</v>
      </c>
      <c r="B914" s="5">
        <f t="shared" si="29"/>
        <v>22.961421832538157</v>
      </c>
      <c r="C914" s="5">
        <f t="shared" si="28"/>
        <v>527.22689257175989</v>
      </c>
    </row>
    <row r="915" spans="1:3" ht="12.75" customHeight="1" thickBot="1" x14ac:dyDescent="0.3">
      <c r="A915" s="10">
        <v>16.932193250000001</v>
      </c>
      <c r="B915" s="5">
        <f t="shared" si="29"/>
        <v>20.786861582538155</v>
      </c>
      <c r="C915" s="5">
        <f t="shared" si="28"/>
        <v>432.09361445160062</v>
      </c>
    </row>
    <row r="916" spans="1:3" ht="12.75" customHeight="1" thickBot="1" x14ac:dyDescent="0.3">
      <c r="A916" s="10">
        <v>42.871105929999999</v>
      </c>
      <c r="B916" s="5">
        <f t="shared" si="29"/>
        <v>5.1520510974618432</v>
      </c>
      <c r="C916" s="5">
        <f t="shared" si="28"/>
        <v>26.543630510857781</v>
      </c>
    </row>
    <row r="917" spans="1:3" ht="12.75" customHeight="1" thickBot="1" x14ac:dyDescent="0.3">
      <c r="A917" s="10">
        <v>25.696023</v>
      </c>
      <c r="B917" s="5">
        <f t="shared" si="29"/>
        <v>12.023031832538155</v>
      </c>
      <c r="C917" s="5">
        <f t="shared" si="28"/>
        <v>144.55329444622581</v>
      </c>
    </row>
    <row r="918" spans="1:3" ht="12.75" customHeight="1" thickBot="1" x14ac:dyDescent="0.3">
      <c r="A918" s="10">
        <v>57.773010560000003</v>
      </c>
      <c r="B918" s="5">
        <f t="shared" si="29"/>
        <v>20.053955727461847</v>
      </c>
      <c r="C918" s="5">
        <f t="shared" si="28"/>
        <v>402.16114031899986</v>
      </c>
    </row>
    <row r="919" spans="1:3" ht="12.75" customHeight="1" thickBot="1" x14ac:dyDescent="0.3">
      <c r="A919" s="10">
        <v>36.690520540000001</v>
      </c>
      <c r="B919" s="5">
        <f t="shared" si="29"/>
        <v>1.0285342925381542</v>
      </c>
      <c r="C919" s="5">
        <f t="shared" si="28"/>
        <v>1.0578827909269615</v>
      </c>
    </row>
    <row r="920" spans="1:3" ht="12.75" customHeight="1" thickBot="1" x14ac:dyDescent="0.3">
      <c r="A920" s="10">
        <v>18.788476930000002</v>
      </c>
      <c r="B920" s="5">
        <f t="shared" si="29"/>
        <v>18.930577902538154</v>
      </c>
      <c r="C920" s="5">
        <f t="shared" si="28"/>
        <v>358.36677972406585</v>
      </c>
    </row>
    <row r="921" spans="1:3" ht="12.75" customHeight="1" thickBot="1" x14ac:dyDescent="0.3">
      <c r="A921" s="10">
        <v>49.391638149999999</v>
      </c>
      <c r="B921" s="5">
        <f t="shared" si="29"/>
        <v>11.672583317461843</v>
      </c>
      <c r="C921" s="5">
        <f t="shared" si="28"/>
        <v>136.24920130308851</v>
      </c>
    </row>
    <row r="922" spans="1:3" ht="12.75" customHeight="1" thickBot="1" x14ac:dyDescent="0.3">
      <c r="A922" s="10">
        <v>45.668126780000001</v>
      </c>
      <c r="B922" s="5">
        <f t="shared" si="29"/>
        <v>7.9490719474618459</v>
      </c>
      <c r="C922" s="5">
        <f t="shared" si="28"/>
        <v>63.18774482592486</v>
      </c>
    </row>
    <row r="923" spans="1:3" ht="12.75" customHeight="1" thickBot="1" x14ac:dyDescent="0.3">
      <c r="A923" s="10">
        <v>14.034030489999999</v>
      </c>
      <c r="B923" s="5">
        <f t="shared" si="29"/>
        <v>23.685024342538156</v>
      </c>
      <c r="C923" s="5">
        <f t="shared" si="28"/>
        <v>560.98037810662504</v>
      </c>
    </row>
    <row r="924" spans="1:3" ht="12.75" customHeight="1" thickBot="1" x14ac:dyDescent="0.3">
      <c r="A924" s="10">
        <v>15.7925003</v>
      </c>
      <c r="B924" s="5">
        <f t="shared" si="29"/>
        <v>21.926554532538155</v>
      </c>
      <c r="C924" s="5">
        <f t="shared" si="28"/>
        <v>480.77379366836954</v>
      </c>
    </row>
    <row r="925" spans="1:3" ht="12.75" customHeight="1" thickBot="1" x14ac:dyDescent="0.3">
      <c r="A925" s="10">
        <v>42.548003700000002</v>
      </c>
      <c r="B925" s="5">
        <f t="shared" si="29"/>
        <v>4.8289488674618468</v>
      </c>
      <c r="C925" s="5">
        <f t="shared" si="28"/>
        <v>23.318747164561053</v>
      </c>
    </row>
    <row r="926" spans="1:3" ht="12.75" customHeight="1" thickBot="1" x14ac:dyDescent="0.3">
      <c r="A926" s="10">
        <v>40.873705000000001</v>
      </c>
      <c r="B926" s="5">
        <f t="shared" si="29"/>
        <v>3.1546501674618455</v>
      </c>
      <c r="C926" s="5">
        <f t="shared" si="28"/>
        <v>9.9518176790670498</v>
      </c>
    </row>
    <row r="927" spans="1:3" ht="12.75" customHeight="1" thickBot="1" x14ac:dyDescent="0.3">
      <c r="A927" s="10">
        <v>24.40950715</v>
      </c>
      <c r="B927" s="5">
        <f t="shared" si="29"/>
        <v>13.309547682538156</v>
      </c>
      <c r="C927" s="5">
        <f t="shared" si="28"/>
        <v>177.14405951375679</v>
      </c>
    </row>
    <row r="928" spans="1:3" ht="12.75" customHeight="1" thickBot="1" x14ac:dyDescent="0.3">
      <c r="A928" s="10">
        <v>10.2579782</v>
      </c>
      <c r="B928" s="5">
        <f t="shared" si="29"/>
        <v>27.461076632538155</v>
      </c>
      <c r="C928" s="5">
        <f t="shared" si="28"/>
        <v>754.11072981813311</v>
      </c>
    </row>
    <row r="929" spans="1:3" ht="12.75" customHeight="1" thickBot="1" x14ac:dyDescent="0.3">
      <c r="A929" s="10">
        <v>45.402308840000003</v>
      </c>
      <c r="B929" s="5">
        <f t="shared" si="29"/>
        <v>7.6832540074618478</v>
      </c>
      <c r="C929" s="5">
        <f t="shared" si="28"/>
        <v>59.032392143178548</v>
      </c>
    </row>
    <row r="930" spans="1:3" ht="12.75" customHeight="1" thickBot="1" x14ac:dyDescent="0.3">
      <c r="A930" s="10">
        <v>13.065513409999999</v>
      </c>
      <c r="B930" s="5">
        <f t="shared" si="29"/>
        <v>24.653541422538154</v>
      </c>
      <c r="C930" s="5">
        <f t="shared" si="28"/>
        <v>607.79710467280461</v>
      </c>
    </row>
    <row r="931" spans="1:3" ht="12.75" customHeight="1" thickBot="1" x14ac:dyDescent="0.3">
      <c r="A931" s="10">
        <v>54.580039110000001</v>
      </c>
      <c r="B931" s="5">
        <f t="shared" si="29"/>
        <v>16.860984277461846</v>
      </c>
      <c r="C931" s="5">
        <f t="shared" si="28"/>
        <v>284.29279080481558</v>
      </c>
    </row>
    <row r="932" spans="1:3" ht="12.75" customHeight="1" thickBot="1" x14ac:dyDescent="0.3">
      <c r="A932" s="10">
        <v>54.922407620000001</v>
      </c>
      <c r="B932" s="5">
        <f t="shared" si="29"/>
        <v>17.203352787461846</v>
      </c>
      <c r="C932" s="5">
        <f t="shared" si="28"/>
        <v>295.95534712987126</v>
      </c>
    </row>
    <row r="933" spans="1:3" ht="12.75" customHeight="1" thickBot="1" x14ac:dyDescent="0.3">
      <c r="A933" s="10">
        <v>40.653760009999999</v>
      </c>
      <c r="B933" s="5">
        <f t="shared" si="29"/>
        <v>2.9347051774618436</v>
      </c>
      <c r="C933" s="5">
        <f t="shared" si="28"/>
        <v>8.6124944786213504</v>
      </c>
    </row>
    <row r="934" spans="1:3" ht="12.75" customHeight="1" thickBot="1" x14ac:dyDescent="0.3">
      <c r="A934" s="10">
        <v>27.013174750000001</v>
      </c>
      <c r="B934" s="5">
        <f t="shared" si="29"/>
        <v>10.705880082538155</v>
      </c>
      <c r="C934" s="5">
        <f t="shared" si="28"/>
        <v>114.61586834168716</v>
      </c>
    </row>
    <row r="935" spans="1:3" ht="12.75" customHeight="1" thickBot="1" x14ac:dyDescent="0.3">
      <c r="A935" s="10">
        <v>17.639866179999999</v>
      </c>
      <c r="B935" s="5">
        <f t="shared" si="29"/>
        <v>20.079188652538157</v>
      </c>
      <c r="C935" s="5">
        <f t="shared" si="28"/>
        <v>403.17381694421709</v>
      </c>
    </row>
    <row r="936" spans="1:3" ht="12.75" customHeight="1" thickBot="1" x14ac:dyDescent="0.3">
      <c r="A936" s="10">
        <v>41.407390370000002</v>
      </c>
      <c r="B936" s="5">
        <f t="shared" si="29"/>
        <v>3.6883355374618461</v>
      </c>
      <c r="C936" s="5">
        <f t="shared" si="28"/>
        <v>13.603819036903964</v>
      </c>
    </row>
    <row r="937" spans="1:3" ht="12.75" customHeight="1" thickBot="1" x14ac:dyDescent="0.3">
      <c r="A937" s="10">
        <v>41.822821339999997</v>
      </c>
      <c r="B937" s="5">
        <f t="shared" si="29"/>
        <v>4.1037665074618417</v>
      </c>
      <c r="C937" s="5">
        <f t="shared" si="28"/>
        <v>16.840899547765563</v>
      </c>
    </row>
    <row r="938" spans="1:3" ht="12.75" customHeight="1" thickBot="1" x14ac:dyDescent="0.3">
      <c r="A938" s="10">
        <v>40.156033839999999</v>
      </c>
      <c r="B938" s="5">
        <f t="shared" si="29"/>
        <v>2.4369790074618436</v>
      </c>
      <c r="C938" s="5">
        <f t="shared" si="28"/>
        <v>5.9388666828097127</v>
      </c>
    </row>
    <row r="939" spans="1:3" ht="12.75" customHeight="1" thickBot="1" x14ac:dyDescent="0.3">
      <c r="A939" s="10">
        <v>56.209475810000001</v>
      </c>
      <c r="B939" s="5">
        <f t="shared" si="29"/>
        <v>18.490420977461845</v>
      </c>
      <c r="C939" s="5">
        <f t="shared" si="28"/>
        <v>341.89566792376104</v>
      </c>
    </row>
    <row r="940" spans="1:3" ht="12.75" customHeight="1" thickBot="1" x14ac:dyDescent="0.3">
      <c r="A940" s="10">
        <v>51.109626230000003</v>
      </c>
      <c r="B940" s="5">
        <f t="shared" si="29"/>
        <v>13.390571397461848</v>
      </c>
      <c r="C940" s="5">
        <f t="shared" si="28"/>
        <v>179.30740235052335</v>
      </c>
    </row>
    <row r="941" spans="1:3" ht="12.75" customHeight="1" thickBot="1" x14ac:dyDescent="0.3">
      <c r="A941" s="10">
        <v>23.720873059999999</v>
      </c>
      <c r="B941" s="5">
        <f t="shared" si="29"/>
        <v>13.998181772538157</v>
      </c>
      <c r="C941" s="5">
        <f t="shared" si="28"/>
        <v>195.94909293701949</v>
      </c>
    </row>
    <row r="942" spans="1:3" ht="12.75" customHeight="1" thickBot="1" x14ac:dyDescent="0.3">
      <c r="A942" s="10">
        <v>41.399314240000002</v>
      </c>
      <c r="B942" s="5">
        <f t="shared" si="29"/>
        <v>3.6802594074618469</v>
      </c>
      <c r="C942" s="5">
        <f t="shared" si="28"/>
        <v>13.544309306211424</v>
      </c>
    </row>
    <row r="943" spans="1:3" ht="12.75" customHeight="1" thickBot="1" x14ac:dyDescent="0.3">
      <c r="A943" s="10">
        <v>42.98338184</v>
      </c>
      <c r="B943" s="5">
        <f t="shared" si="29"/>
        <v>5.2643270074618442</v>
      </c>
      <c r="C943" s="5">
        <f t="shared" si="28"/>
        <v>27.713138841492174</v>
      </c>
    </row>
    <row r="944" spans="1:3" ht="12.75" customHeight="1" thickBot="1" x14ac:dyDescent="0.3">
      <c r="A944" s="10">
        <v>46.975949669999999</v>
      </c>
      <c r="B944" s="5">
        <f t="shared" si="29"/>
        <v>9.2568948374618429</v>
      </c>
      <c r="C944" s="5">
        <f t="shared" si="28"/>
        <v>85.69010203182772</v>
      </c>
    </row>
    <row r="945" spans="1:3" ht="12.75" customHeight="1" thickBot="1" x14ac:dyDescent="0.3">
      <c r="A945" s="10">
        <v>29.544301860000001</v>
      </c>
      <c r="B945" s="5">
        <f t="shared" si="29"/>
        <v>8.1747529725381547</v>
      </c>
      <c r="C945" s="5">
        <f t="shared" si="28"/>
        <v>66.8265861620214</v>
      </c>
    </row>
    <row r="946" spans="1:3" ht="12.75" customHeight="1" thickBot="1" x14ac:dyDescent="0.3">
      <c r="A946" s="10">
        <v>41.423354369999998</v>
      </c>
      <c r="B946" s="5">
        <f t="shared" si="29"/>
        <v>3.7042995374618428</v>
      </c>
      <c r="C946" s="5">
        <f t="shared" si="28"/>
        <v>13.721835063240023</v>
      </c>
    </row>
    <row r="947" spans="1:3" ht="12.75" customHeight="1" thickBot="1" x14ac:dyDescent="0.3">
      <c r="A947" s="10">
        <v>20.615877130000001</v>
      </c>
      <c r="B947" s="5">
        <f t="shared" si="29"/>
        <v>17.103177702538154</v>
      </c>
      <c r="C947" s="5">
        <f t="shared" si="28"/>
        <v>292.51868752459831</v>
      </c>
    </row>
    <row r="948" spans="1:3" ht="12.75" customHeight="1" thickBot="1" x14ac:dyDescent="0.3">
      <c r="A948" s="10">
        <v>10</v>
      </c>
      <c r="B948" s="5">
        <f t="shared" si="29"/>
        <v>27.719054832538156</v>
      </c>
      <c r="C948" s="5">
        <f t="shared" si="28"/>
        <v>768.34600080925691</v>
      </c>
    </row>
    <row r="949" spans="1:3" ht="12.75" customHeight="1" thickBot="1" x14ac:dyDescent="0.3">
      <c r="A949" s="10">
        <v>51.474218479999998</v>
      </c>
      <c r="B949" s="5">
        <f t="shared" si="29"/>
        <v>13.755163647461842</v>
      </c>
      <c r="C949" s="5">
        <f t="shared" si="28"/>
        <v>189.20452696845575</v>
      </c>
    </row>
    <row r="950" spans="1:3" ht="12.75" customHeight="1" thickBot="1" x14ac:dyDescent="0.3">
      <c r="A950" s="10">
        <v>46.745930639999997</v>
      </c>
      <c r="B950" s="5">
        <f t="shared" si="29"/>
        <v>9.0268758074618418</v>
      </c>
      <c r="C950" s="5">
        <f t="shared" si="28"/>
        <v>81.48448684333988</v>
      </c>
    </row>
    <row r="951" spans="1:3" ht="12.75" customHeight="1" thickBot="1" x14ac:dyDescent="0.3">
      <c r="A951" s="10">
        <v>60.482454279999999</v>
      </c>
      <c r="B951" s="5">
        <f t="shared" si="29"/>
        <v>22.763399447461843</v>
      </c>
      <c r="C951" s="5">
        <f t="shared" si="28"/>
        <v>518.1723544047062</v>
      </c>
    </row>
    <row r="952" spans="1:3" ht="12.75" customHeight="1" thickBot="1" x14ac:dyDescent="0.3">
      <c r="A952" s="10">
        <v>53.667544130000003</v>
      </c>
      <c r="B952" s="5">
        <f t="shared" si="29"/>
        <v>15.948489297461848</v>
      </c>
      <c r="C952" s="5">
        <f t="shared" si="28"/>
        <v>254.35431087125508</v>
      </c>
    </row>
    <row r="953" spans="1:3" ht="12.75" customHeight="1" thickBot="1" x14ac:dyDescent="0.3">
      <c r="A953" s="10">
        <v>33.304570660000003</v>
      </c>
      <c r="B953" s="5">
        <f t="shared" si="29"/>
        <v>4.4144841725381525</v>
      </c>
      <c r="C953" s="5">
        <f t="shared" si="28"/>
        <v>19.487670509589858</v>
      </c>
    </row>
    <row r="954" spans="1:3" ht="12.75" customHeight="1" thickBot="1" x14ac:dyDescent="0.3">
      <c r="A954" s="10">
        <v>44.58893905</v>
      </c>
      <c r="B954" s="5">
        <f t="shared" si="29"/>
        <v>6.8698842174618449</v>
      </c>
      <c r="C954" s="5">
        <f t="shared" si="28"/>
        <v>47.195309161331345</v>
      </c>
    </row>
    <row r="955" spans="1:3" ht="12.75" customHeight="1" thickBot="1" x14ac:dyDescent="0.3">
      <c r="A955" s="10">
        <v>48.261803360000002</v>
      </c>
      <c r="B955" s="5">
        <f t="shared" si="29"/>
        <v>10.542748527461846</v>
      </c>
      <c r="C955" s="5">
        <f t="shared" si="28"/>
        <v>111.14954651329893</v>
      </c>
    </row>
    <row r="956" spans="1:3" ht="12.75" customHeight="1" thickBot="1" x14ac:dyDescent="0.3">
      <c r="A956" s="10">
        <v>40.34313667</v>
      </c>
      <c r="B956" s="5">
        <f t="shared" si="29"/>
        <v>2.6240818374618442</v>
      </c>
      <c r="C956" s="5">
        <f t="shared" si="28"/>
        <v>6.8858054896971286</v>
      </c>
    </row>
    <row r="957" spans="1:3" ht="12.75" customHeight="1" thickBot="1" x14ac:dyDescent="0.3">
      <c r="A957" s="10">
        <v>16.72102885</v>
      </c>
      <c r="B957" s="5">
        <f t="shared" si="29"/>
        <v>20.998025982538156</v>
      </c>
      <c r="C957" s="5">
        <f t="shared" si="28"/>
        <v>440.91709516334748</v>
      </c>
    </row>
    <row r="958" spans="1:3" ht="12.75" customHeight="1" thickBot="1" x14ac:dyDescent="0.3">
      <c r="A958" s="10">
        <v>10</v>
      </c>
      <c r="B958" s="5">
        <f t="shared" si="29"/>
        <v>27.719054832538156</v>
      </c>
      <c r="C958" s="5">
        <f t="shared" si="28"/>
        <v>768.34600080925691</v>
      </c>
    </row>
    <row r="959" spans="1:3" ht="12.75" customHeight="1" thickBot="1" x14ac:dyDescent="0.3">
      <c r="A959" s="10">
        <v>26.505168959999999</v>
      </c>
      <c r="B959" s="5">
        <f t="shared" si="29"/>
        <v>11.213885872538157</v>
      </c>
      <c r="C959" s="5">
        <f t="shared" si="28"/>
        <v>125.75123636231086</v>
      </c>
    </row>
    <row r="960" spans="1:3" ht="12.75" customHeight="1" thickBot="1" x14ac:dyDescent="0.3">
      <c r="A960" s="10">
        <v>13.55916292</v>
      </c>
      <c r="B960" s="5">
        <f t="shared" si="29"/>
        <v>24.159891912538157</v>
      </c>
      <c r="C960" s="5">
        <f t="shared" si="28"/>
        <v>583.70037722552661</v>
      </c>
    </row>
    <row r="961" spans="1:3" ht="12.75" customHeight="1" thickBot="1" x14ac:dyDescent="0.3">
      <c r="A961" s="10">
        <v>43.90124539</v>
      </c>
      <c r="B961" s="5">
        <f t="shared" si="29"/>
        <v>6.1821905574618441</v>
      </c>
      <c r="C961" s="5">
        <f t="shared" si="28"/>
        <v>38.219480088770389</v>
      </c>
    </row>
    <row r="962" spans="1:3" ht="12.75" customHeight="1" thickBot="1" x14ac:dyDescent="0.3">
      <c r="A962" s="10">
        <v>46.539826859999998</v>
      </c>
      <c r="B962" s="5">
        <f t="shared" si="29"/>
        <v>8.8207720274618424</v>
      </c>
      <c r="C962" s="5">
        <f t="shared" si="28"/>
        <v>77.806019160453303</v>
      </c>
    </row>
    <row r="963" spans="1:3" ht="12.75" customHeight="1" thickBot="1" x14ac:dyDescent="0.3">
      <c r="A963" s="10">
        <v>44.455048329999997</v>
      </c>
      <c r="B963" s="5">
        <f t="shared" si="29"/>
        <v>6.7359934974618412</v>
      </c>
      <c r="C963" s="5">
        <f t="shared" ref="C963:C1026" si="30">POWER(B963,2)</f>
        <v>45.373608397848209</v>
      </c>
    </row>
    <row r="964" spans="1:3" ht="12.75" customHeight="1" thickBot="1" x14ac:dyDescent="0.3">
      <c r="A964" s="10">
        <v>53.865877640000001</v>
      </c>
      <c r="B964" s="5">
        <f t="shared" si="29"/>
        <v>16.146822807461845</v>
      </c>
      <c r="C964" s="5">
        <f t="shared" si="30"/>
        <v>260.71988677557005</v>
      </c>
    </row>
    <row r="965" spans="1:3" ht="12.75" customHeight="1" thickBot="1" x14ac:dyDescent="0.3">
      <c r="A965" s="10">
        <v>17.913810430000002</v>
      </c>
      <c r="B965" s="5">
        <f t="shared" si="29"/>
        <v>19.805244402538154</v>
      </c>
      <c r="C965" s="5">
        <f t="shared" si="30"/>
        <v>392.24770584426886</v>
      </c>
    </row>
    <row r="966" spans="1:3" ht="12.75" customHeight="1" thickBot="1" x14ac:dyDescent="0.3">
      <c r="A966" s="10">
        <v>27.980643799999999</v>
      </c>
      <c r="B966" s="5">
        <f t="shared" si="29"/>
        <v>9.7384110325381563</v>
      </c>
      <c r="C966" s="5">
        <f t="shared" si="30"/>
        <v>94.836649438660885</v>
      </c>
    </row>
    <row r="967" spans="1:3" ht="12.75" customHeight="1" thickBot="1" x14ac:dyDescent="0.3">
      <c r="A967" s="10">
        <v>53.441457069999998</v>
      </c>
      <c r="B967" s="5">
        <f t="shared" si="29"/>
        <v>15.722402237461843</v>
      </c>
      <c r="C967" s="5">
        <f t="shared" si="30"/>
        <v>247.19393211654517</v>
      </c>
    </row>
    <row r="968" spans="1:3" ht="12.75" customHeight="1" thickBot="1" x14ac:dyDescent="0.3">
      <c r="A968" s="10">
        <v>30.49285098</v>
      </c>
      <c r="B968" s="5">
        <f t="shared" si="29"/>
        <v>7.2262038525381556</v>
      </c>
      <c r="C968" s="5">
        <f t="shared" si="30"/>
        <v>52.218022118437283</v>
      </c>
    </row>
    <row r="969" spans="1:3" ht="12.75" customHeight="1" thickBot="1" x14ac:dyDescent="0.3">
      <c r="A969" s="10">
        <v>41.279002249999998</v>
      </c>
      <c r="B969" s="5">
        <f t="shared" ref="B969:B1032" si="31">ABS(A969-$E$2)</f>
        <v>3.5599474174618422</v>
      </c>
      <c r="C969" s="5">
        <f t="shared" si="30"/>
        <v>12.673225615093239</v>
      </c>
    </row>
    <row r="970" spans="1:3" ht="12.75" customHeight="1" thickBot="1" x14ac:dyDescent="0.3">
      <c r="A970" s="10">
        <v>34.748945579999997</v>
      </c>
      <c r="B970" s="5">
        <f t="shared" si="31"/>
        <v>2.9701092525381583</v>
      </c>
      <c r="C970" s="5">
        <f t="shared" si="30"/>
        <v>8.8215489720127778</v>
      </c>
    </row>
    <row r="971" spans="1:3" ht="12.75" customHeight="1" thickBot="1" x14ac:dyDescent="0.3">
      <c r="A971" s="10">
        <v>53.414022199999998</v>
      </c>
      <c r="B971" s="5">
        <f t="shared" si="31"/>
        <v>15.694967367461842</v>
      </c>
      <c r="C971" s="5">
        <f t="shared" si="30"/>
        <v>246.33200066569211</v>
      </c>
    </row>
    <row r="972" spans="1:3" ht="12.75" customHeight="1" thickBot="1" x14ac:dyDescent="0.3">
      <c r="A972" s="10">
        <v>27.041399569999999</v>
      </c>
      <c r="B972" s="5">
        <f t="shared" si="31"/>
        <v>10.677655262538156</v>
      </c>
      <c r="C972" s="5">
        <f t="shared" si="30"/>
        <v>114.01232190560879</v>
      </c>
    </row>
    <row r="973" spans="1:3" ht="12.75" customHeight="1" thickBot="1" x14ac:dyDescent="0.3">
      <c r="A973" s="10">
        <v>40.632730889999998</v>
      </c>
      <c r="B973" s="5">
        <f t="shared" si="31"/>
        <v>2.9136760574618421</v>
      </c>
      <c r="C973" s="5">
        <f t="shared" si="30"/>
        <v>8.4895081678263846</v>
      </c>
    </row>
    <row r="974" spans="1:3" ht="12.75" customHeight="1" thickBot="1" x14ac:dyDescent="0.3">
      <c r="A974" s="10">
        <v>50.742386600000003</v>
      </c>
      <c r="B974" s="5">
        <f t="shared" si="31"/>
        <v>13.023331767461848</v>
      </c>
      <c r="C974" s="5">
        <f t="shared" si="30"/>
        <v>169.60717032538093</v>
      </c>
    </row>
    <row r="975" spans="1:3" ht="12.75" customHeight="1" thickBot="1" x14ac:dyDescent="0.3">
      <c r="A975" s="10">
        <v>13.43422311</v>
      </c>
      <c r="B975" s="5">
        <f t="shared" si="31"/>
        <v>24.284831722538158</v>
      </c>
      <c r="C975" s="5">
        <f t="shared" si="30"/>
        <v>589.75305179199563</v>
      </c>
    </row>
    <row r="976" spans="1:3" ht="12.75" customHeight="1" thickBot="1" x14ac:dyDescent="0.3">
      <c r="A976" s="10">
        <v>58.254640449999997</v>
      </c>
      <c r="B976" s="5">
        <f t="shared" si="31"/>
        <v>20.535585617461841</v>
      </c>
      <c r="C976" s="5">
        <f t="shared" si="30"/>
        <v>421.71027665210562</v>
      </c>
    </row>
    <row r="977" spans="1:3" ht="12.75" customHeight="1" thickBot="1" x14ac:dyDescent="0.3">
      <c r="A977" s="10">
        <v>60.436155999999997</v>
      </c>
      <c r="B977" s="5">
        <f t="shared" si="31"/>
        <v>22.717101167461841</v>
      </c>
      <c r="C977" s="5">
        <f t="shared" si="30"/>
        <v>516.06668545269611</v>
      </c>
    </row>
    <row r="978" spans="1:3" ht="12.75" customHeight="1" thickBot="1" x14ac:dyDescent="0.3">
      <c r="A978" s="10">
        <v>19.049707529999999</v>
      </c>
      <c r="B978" s="5">
        <f t="shared" si="31"/>
        <v>18.669347302538156</v>
      </c>
      <c r="C978" s="5">
        <f t="shared" si="30"/>
        <v>348.54452870278874</v>
      </c>
    </row>
    <row r="979" spans="1:3" ht="12.75" customHeight="1" thickBot="1" x14ac:dyDescent="0.3">
      <c r="A979" s="10">
        <v>30.98846249</v>
      </c>
      <c r="B979" s="5">
        <f t="shared" si="31"/>
        <v>6.7305923425381557</v>
      </c>
      <c r="C979" s="5">
        <f t="shared" si="30"/>
        <v>45.300873281433262</v>
      </c>
    </row>
    <row r="980" spans="1:3" ht="12.75" customHeight="1" thickBot="1" x14ac:dyDescent="0.3">
      <c r="A980" s="10">
        <v>17.57656377</v>
      </c>
      <c r="B980" s="5">
        <f t="shared" si="31"/>
        <v>20.142491062538156</v>
      </c>
      <c r="C980" s="5">
        <f t="shared" si="30"/>
        <v>405.7199462044295</v>
      </c>
    </row>
    <row r="981" spans="1:3" ht="12.75" customHeight="1" thickBot="1" x14ac:dyDescent="0.3">
      <c r="A981" s="10">
        <v>12.912987169999999</v>
      </c>
      <c r="B981" s="5">
        <f t="shared" si="31"/>
        <v>24.806067662538155</v>
      </c>
      <c r="C981" s="5">
        <f t="shared" si="30"/>
        <v>615.34099287842116</v>
      </c>
    </row>
    <row r="982" spans="1:3" ht="12.75" customHeight="1" thickBot="1" x14ac:dyDescent="0.3">
      <c r="A982" s="10">
        <v>43.090547399999998</v>
      </c>
      <c r="B982" s="5">
        <f t="shared" si="31"/>
        <v>5.3714925674618428</v>
      </c>
      <c r="C982" s="5">
        <f t="shared" si="30"/>
        <v>28.852932402297821</v>
      </c>
    </row>
    <row r="983" spans="1:3" ht="12.75" customHeight="1" thickBot="1" x14ac:dyDescent="0.3">
      <c r="A983" s="10">
        <v>50.749614379999997</v>
      </c>
      <c r="B983" s="5">
        <f t="shared" si="31"/>
        <v>13.030559547461841</v>
      </c>
      <c r="C983" s="5">
        <f t="shared" si="30"/>
        <v>169.79548211994896</v>
      </c>
    </row>
    <row r="984" spans="1:3" ht="12.75" customHeight="1" thickBot="1" x14ac:dyDescent="0.3">
      <c r="A984" s="10">
        <v>45.369610610000002</v>
      </c>
      <c r="B984" s="5">
        <f t="shared" si="31"/>
        <v>7.6505557774618467</v>
      </c>
      <c r="C984" s="5">
        <f t="shared" si="30"/>
        <v>58.531003704054839</v>
      </c>
    </row>
    <row r="985" spans="1:3" ht="12.75" customHeight="1" thickBot="1" x14ac:dyDescent="0.3">
      <c r="A985" s="10">
        <v>47.335136140000003</v>
      </c>
      <c r="B985" s="5">
        <f t="shared" si="31"/>
        <v>9.6160813074618474</v>
      </c>
      <c r="C985" s="5">
        <f t="shared" si="30"/>
        <v>92.469019711717152</v>
      </c>
    </row>
    <row r="986" spans="1:3" ht="12.75" customHeight="1" thickBot="1" x14ac:dyDescent="0.3">
      <c r="A986" s="10">
        <v>53.719795079999997</v>
      </c>
      <c r="B986" s="5">
        <f t="shared" si="31"/>
        <v>16.000740247461842</v>
      </c>
      <c r="C986" s="5">
        <f t="shared" si="30"/>
        <v>256.02368846674523</v>
      </c>
    </row>
    <row r="987" spans="1:3" ht="12.75" customHeight="1" thickBot="1" x14ac:dyDescent="0.3">
      <c r="A987" s="10">
        <v>25.5283272</v>
      </c>
      <c r="B987" s="5">
        <f t="shared" si="31"/>
        <v>12.190727632538156</v>
      </c>
      <c r="C987" s="5">
        <f t="shared" si="30"/>
        <v>148.61384021072936</v>
      </c>
    </row>
    <row r="988" spans="1:3" ht="12.75" customHeight="1" thickBot="1" x14ac:dyDescent="0.3">
      <c r="A988" s="10">
        <v>43.341532239999999</v>
      </c>
      <c r="B988" s="5">
        <f t="shared" si="31"/>
        <v>5.6224774074618438</v>
      </c>
      <c r="C988" s="5">
        <f t="shared" si="30"/>
        <v>31.612252197418854</v>
      </c>
    </row>
    <row r="989" spans="1:3" ht="12.75" customHeight="1" thickBot="1" x14ac:dyDescent="0.3">
      <c r="A989" s="10">
        <v>11.74494404</v>
      </c>
      <c r="B989" s="5">
        <f t="shared" si="31"/>
        <v>25.974110792538156</v>
      </c>
      <c r="C989" s="5">
        <f t="shared" si="30"/>
        <v>674.6544314630471</v>
      </c>
    </row>
    <row r="990" spans="1:3" ht="12.75" customHeight="1" thickBot="1" x14ac:dyDescent="0.3">
      <c r="A990" s="10">
        <v>52.555271079999997</v>
      </c>
      <c r="B990" s="5">
        <f t="shared" si="31"/>
        <v>14.836216247461842</v>
      </c>
      <c r="C990" s="5">
        <f t="shared" si="30"/>
        <v>220.11331254145074</v>
      </c>
    </row>
    <row r="991" spans="1:3" ht="12.75" customHeight="1" thickBot="1" x14ac:dyDescent="0.3">
      <c r="A991" s="10">
        <v>22.95962231</v>
      </c>
      <c r="B991" s="5">
        <f t="shared" si="31"/>
        <v>14.759432522538155</v>
      </c>
      <c r="C991" s="5">
        <f t="shared" si="30"/>
        <v>217.84084838735703</v>
      </c>
    </row>
    <row r="992" spans="1:3" ht="12.75" customHeight="1" thickBot="1" x14ac:dyDescent="0.3">
      <c r="A992" s="10">
        <v>41.92448109</v>
      </c>
      <c r="B992" s="5">
        <f t="shared" si="31"/>
        <v>4.2054262574618448</v>
      </c>
      <c r="C992" s="5">
        <f t="shared" si="30"/>
        <v>17.685610006949538</v>
      </c>
    </row>
    <row r="993" spans="1:3" ht="12.75" customHeight="1" thickBot="1" x14ac:dyDescent="0.3">
      <c r="A993" s="10">
        <v>58.207155659999998</v>
      </c>
      <c r="B993" s="5">
        <f t="shared" si="31"/>
        <v>20.488100827461842</v>
      </c>
      <c r="C993" s="5">
        <f t="shared" si="30"/>
        <v>419.76227551624265</v>
      </c>
    </row>
    <row r="994" spans="1:3" ht="12.75" customHeight="1" thickBot="1" x14ac:dyDescent="0.3">
      <c r="A994" s="10">
        <v>10</v>
      </c>
      <c r="B994" s="5">
        <f t="shared" si="31"/>
        <v>27.719054832538156</v>
      </c>
      <c r="C994" s="5">
        <f t="shared" si="30"/>
        <v>768.34600080925691</v>
      </c>
    </row>
    <row r="995" spans="1:3" ht="12.75" customHeight="1" thickBot="1" x14ac:dyDescent="0.3">
      <c r="A995" s="10">
        <v>45.383448110000003</v>
      </c>
      <c r="B995" s="5">
        <f t="shared" si="31"/>
        <v>7.6643932774618477</v>
      </c>
      <c r="C995" s="5">
        <f t="shared" si="30"/>
        <v>58.742924311602366</v>
      </c>
    </row>
    <row r="996" spans="1:3" ht="12.75" customHeight="1" thickBot="1" x14ac:dyDescent="0.3">
      <c r="A996" s="10">
        <v>31.431651779999999</v>
      </c>
      <c r="B996" s="5">
        <f t="shared" si="31"/>
        <v>6.2874030525381563</v>
      </c>
      <c r="C996" s="5">
        <f t="shared" si="30"/>
        <v>39.531437145066128</v>
      </c>
    </row>
    <row r="997" spans="1:3" ht="12.75" customHeight="1" thickBot="1" x14ac:dyDescent="0.3">
      <c r="A997" s="10">
        <v>31.96023186</v>
      </c>
      <c r="B997" s="5">
        <f t="shared" si="31"/>
        <v>5.7588229725381552</v>
      </c>
      <c r="C997" s="5">
        <f t="shared" si="30"/>
        <v>33.164042029033197</v>
      </c>
    </row>
    <row r="998" spans="1:3" ht="12.75" customHeight="1" thickBot="1" x14ac:dyDescent="0.3">
      <c r="A998" s="10">
        <v>36.746164360000002</v>
      </c>
      <c r="B998" s="5">
        <f t="shared" si="31"/>
        <v>0.97289047253815397</v>
      </c>
      <c r="C998" s="5">
        <f t="shared" si="30"/>
        <v>0.94651587155551253</v>
      </c>
    </row>
    <row r="999" spans="1:3" ht="12.75" customHeight="1" thickBot="1" x14ac:dyDescent="0.3">
      <c r="A999" s="10">
        <v>19.385440079999999</v>
      </c>
      <c r="B999" s="5">
        <f t="shared" si="31"/>
        <v>18.333614752538157</v>
      </c>
      <c r="C999" s="5">
        <f t="shared" si="30"/>
        <v>336.12142989448472</v>
      </c>
    </row>
    <row r="1000" spans="1:3" ht="12.75" customHeight="1" thickBot="1" x14ac:dyDescent="0.3">
      <c r="A1000" s="10">
        <v>12.33524261</v>
      </c>
      <c r="B1000" s="5">
        <f t="shared" si="31"/>
        <v>25.383812222538154</v>
      </c>
      <c r="C1000" s="5">
        <f t="shared" si="30"/>
        <v>644.33792294907732</v>
      </c>
    </row>
    <row r="1001" spans="1:3" ht="12.75" customHeight="1" thickBot="1" x14ac:dyDescent="0.3">
      <c r="A1001" s="10">
        <v>40.459794610000003</v>
      </c>
      <c r="B1001" s="5">
        <f t="shared" si="31"/>
        <v>2.7407397774618474</v>
      </c>
      <c r="C1001" s="5">
        <f t="shared" si="30"/>
        <v>7.5116545277616167</v>
      </c>
    </row>
    <row r="1002" spans="1:3" ht="12.75" customHeight="1" thickBot="1" x14ac:dyDescent="0.3">
      <c r="A1002" s="10">
        <v>66.07593636</v>
      </c>
      <c r="B1002" s="5">
        <f t="shared" si="31"/>
        <v>28.356881527461844</v>
      </c>
      <c r="C1002" s="5">
        <f t="shared" si="30"/>
        <v>804.11272996250682</v>
      </c>
    </row>
    <row r="1003" spans="1:3" ht="12.75" customHeight="1" thickBot="1" x14ac:dyDescent="0.3">
      <c r="A1003" s="10">
        <v>49.437624059999997</v>
      </c>
      <c r="B1003" s="5">
        <f t="shared" si="31"/>
        <v>11.718569227461842</v>
      </c>
      <c r="C1003" s="5">
        <f t="shared" si="30"/>
        <v>137.32486473881562</v>
      </c>
    </row>
    <row r="1004" spans="1:3" ht="12.75" customHeight="1" thickBot="1" x14ac:dyDescent="0.3">
      <c r="A1004" s="10">
        <v>66.597109709999998</v>
      </c>
      <c r="B1004" s="5">
        <f t="shared" si="31"/>
        <v>28.878054877461842</v>
      </c>
      <c r="C1004" s="5">
        <f t="shared" si="30"/>
        <v>833.94205350569769</v>
      </c>
    </row>
    <row r="1005" spans="1:3" ht="12.75" customHeight="1" thickBot="1" x14ac:dyDescent="0.3">
      <c r="A1005" s="10">
        <v>14.7092469</v>
      </c>
      <c r="B1005" s="5">
        <f t="shared" si="31"/>
        <v>23.009807932538155</v>
      </c>
      <c r="C1005" s="5">
        <f t="shared" si="30"/>
        <v>529.45126109229579</v>
      </c>
    </row>
    <row r="1006" spans="1:3" ht="12.75" customHeight="1" thickBot="1" x14ac:dyDescent="0.3">
      <c r="A1006" s="10">
        <v>44.552346700000001</v>
      </c>
      <c r="B1006" s="5">
        <f t="shared" si="31"/>
        <v>6.8332918674618455</v>
      </c>
      <c r="C1006" s="5">
        <f t="shared" si="30"/>
        <v>46.693877745920197</v>
      </c>
    </row>
    <row r="1007" spans="1:3" ht="12.75" customHeight="1" thickBot="1" x14ac:dyDescent="0.3">
      <c r="A1007" s="10">
        <v>50.15278275</v>
      </c>
      <c r="B1007" s="5">
        <f t="shared" si="31"/>
        <v>12.433727917461844</v>
      </c>
      <c r="C1007" s="5">
        <f t="shared" si="30"/>
        <v>154.59758992547006</v>
      </c>
    </row>
    <row r="1008" spans="1:3" ht="12.75" customHeight="1" thickBot="1" x14ac:dyDescent="0.3">
      <c r="A1008" s="10">
        <v>53.777485140000003</v>
      </c>
      <c r="B1008" s="5">
        <f t="shared" si="31"/>
        <v>16.058430307461848</v>
      </c>
      <c r="C1008" s="5">
        <f t="shared" si="30"/>
        <v>257.87318393960919</v>
      </c>
    </row>
    <row r="1009" spans="1:3" ht="12.75" customHeight="1" thickBot="1" x14ac:dyDescent="0.3">
      <c r="A1009" s="10">
        <v>44.088746030000003</v>
      </c>
      <c r="B1009" s="5">
        <f t="shared" si="31"/>
        <v>6.3696911974618473</v>
      </c>
      <c r="C1009" s="5">
        <f t="shared" si="30"/>
        <v>40.572965951022944</v>
      </c>
    </row>
    <row r="1010" spans="1:3" ht="12.75" customHeight="1" thickBot="1" x14ac:dyDescent="0.3">
      <c r="A1010" s="10">
        <v>11.580539269999999</v>
      </c>
      <c r="B1010" s="5">
        <f t="shared" si="31"/>
        <v>26.138515562538156</v>
      </c>
      <c r="C1010" s="5">
        <f t="shared" si="30"/>
        <v>683.22199581304938</v>
      </c>
    </row>
    <row r="1011" spans="1:3" ht="12.75" customHeight="1" thickBot="1" x14ac:dyDescent="0.3">
      <c r="A1011" s="10">
        <v>28.097854959999999</v>
      </c>
      <c r="B1011" s="5">
        <f t="shared" si="31"/>
        <v>9.6211998725381562</v>
      </c>
      <c r="C1011" s="5">
        <f t="shared" si="30"/>
        <v>92.567486987328238</v>
      </c>
    </row>
    <row r="1012" spans="1:3" ht="12.75" customHeight="1" thickBot="1" x14ac:dyDescent="0.3">
      <c r="A1012" s="10">
        <v>12.548887110000001</v>
      </c>
      <c r="B1012" s="5">
        <f t="shared" si="31"/>
        <v>25.170167722538153</v>
      </c>
      <c r="C1012" s="5">
        <f t="shared" si="30"/>
        <v>633.53734318070144</v>
      </c>
    </row>
    <row r="1013" spans="1:3" ht="12.75" customHeight="1" thickBot="1" x14ac:dyDescent="0.3">
      <c r="A1013" s="10">
        <v>40.520713399999998</v>
      </c>
      <c r="B1013" s="5">
        <f t="shared" si="31"/>
        <v>2.8016585674618426</v>
      </c>
      <c r="C1013" s="5">
        <f t="shared" si="30"/>
        <v>7.8492907286323437</v>
      </c>
    </row>
    <row r="1014" spans="1:3" ht="12.75" customHeight="1" thickBot="1" x14ac:dyDescent="0.3">
      <c r="A1014" s="10">
        <v>33.962438089999999</v>
      </c>
      <c r="B1014" s="5">
        <f t="shared" si="31"/>
        <v>3.7566167425381565</v>
      </c>
      <c r="C1014" s="5">
        <f t="shared" si="30"/>
        <v>14.112169350317989</v>
      </c>
    </row>
    <row r="1015" spans="1:3" ht="12.75" customHeight="1" thickBot="1" x14ac:dyDescent="0.3">
      <c r="A1015" s="10">
        <v>46.448913259999998</v>
      </c>
      <c r="B1015" s="5">
        <f t="shared" si="31"/>
        <v>8.729858427461842</v>
      </c>
      <c r="C1015" s="5">
        <f t="shared" si="30"/>
        <v>76.210428163526544</v>
      </c>
    </row>
    <row r="1016" spans="1:3" ht="12.75" customHeight="1" thickBot="1" x14ac:dyDescent="0.3">
      <c r="A1016" s="10">
        <v>59.019157440000001</v>
      </c>
      <c r="B1016" s="5">
        <f t="shared" si="31"/>
        <v>21.300102607461845</v>
      </c>
      <c r="C1016" s="5">
        <f t="shared" si="30"/>
        <v>453.69437108840287</v>
      </c>
    </row>
    <row r="1017" spans="1:3" ht="12.75" customHeight="1" thickBot="1" x14ac:dyDescent="0.3">
      <c r="A1017" s="10">
        <v>13.134772419999999</v>
      </c>
      <c r="B1017" s="5">
        <f t="shared" si="31"/>
        <v>24.584282412538158</v>
      </c>
      <c r="C1017" s="5">
        <f t="shared" si="30"/>
        <v>604.38694173943304</v>
      </c>
    </row>
    <row r="1018" spans="1:3" ht="12.75" customHeight="1" thickBot="1" x14ac:dyDescent="0.3">
      <c r="A1018" s="10">
        <v>47.706758170000001</v>
      </c>
      <c r="B1018" s="5">
        <f t="shared" si="31"/>
        <v>9.9877033374618449</v>
      </c>
      <c r="C1018" s="5">
        <f t="shared" si="30"/>
        <v>99.75421795714648</v>
      </c>
    </row>
    <row r="1019" spans="1:3" ht="12.75" customHeight="1" thickBot="1" x14ac:dyDescent="0.3">
      <c r="A1019" s="10">
        <v>46.790631570000002</v>
      </c>
      <c r="B1019" s="5">
        <f t="shared" si="31"/>
        <v>9.0715767374618466</v>
      </c>
      <c r="C1019" s="5">
        <f t="shared" si="30"/>
        <v>82.293504503658923</v>
      </c>
    </row>
    <row r="1020" spans="1:3" ht="12.75" customHeight="1" thickBot="1" x14ac:dyDescent="0.3">
      <c r="A1020" s="10">
        <v>23.763970359999998</v>
      </c>
      <c r="B1020" s="5">
        <f t="shared" si="31"/>
        <v>13.955084472538157</v>
      </c>
      <c r="C1020" s="5">
        <f t="shared" si="30"/>
        <v>194.74438263567558</v>
      </c>
    </row>
    <row r="1021" spans="1:3" ht="12.75" customHeight="1" thickBot="1" x14ac:dyDescent="0.3">
      <c r="A1021" s="10">
        <v>61.591217989999997</v>
      </c>
      <c r="B1021" s="5">
        <f t="shared" si="31"/>
        <v>23.872163157461841</v>
      </c>
      <c r="C1021" s="5">
        <f t="shared" si="30"/>
        <v>569.88017381647853</v>
      </c>
    </row>
    <row r="1022" spans="1:3" ht="12.75" customHeight="1" thickBot="1" x14ac:dyDescent="0.3">
      <c r="A1022" s="10">
        <v>37.921233489999999</v>
      </c>
      <c r="B1022" s="5">
        <f t="shared" si="31"/>
        <v>0.20217865746184316</v>
      </c>
      <c r="C1022" s="5">
        <f t="shared" si="30"/>
        <v>4.0876209533073311E-2</v>
      </c>
    </row>
    <row r="1023" spans="1:3" ht="12.75" customHeight="1" thickBot="1" x14ac:dyDescent="0.3">
      <c r="A1023" s="10">
        <v>48.020685579999999</v>
      </c>
      <c r="B1023" s="5">
        <f t="shared" si="31"/>
        <v>10.301630747461843</v>
      </c>
      <c r="C1023" s="5">
        <f t="shared" si="30"/>
        <v>106.12359605705124</v>
      </c>
    </row>
    <row r="1024" spans="1:3" ht="12.75" customHeight="1" thickBot="1" x14ac:dyDescent="0.3">
      <c r="A1024" s="10">
        <v>20.428777499999999</v>
      </c>
      <c r="B1024" s="5">
        <f t="shared" si="31"/>
        <v>17.290277332538157</v>
      </c>
      <c r="C1024" s="5">
        <f t="shared" si="30"/>
        <v>298.95369023608282</v>
      </c>
    </row>
    <row r="1025" spans="1:3" ht="12.75" customHeight="1" thickBot="1" x14ac:dyDescent="0.3">
      <c r="A1025" s="10">
        <v>35.964488959999997</v>
      </c>
      <c r="B1025" s="5">
        <f t="shared" si="31"/>
        <v>1.7545658725381585</v>
      </c>
      <c r="C1025" s="5">
        <f t="shared" si="30"/>
        <v>3.0785014010755898</v>
      </c>
    </row>
    <row r="1026" spans="1:3" ht="12.75" customHeight="1" thickBot="1" x14ac:dyDescent="0.3">
      <c r="A1026" s="10">
        <v>42.190954920000003</v>
      </c>
      <c r="B1026" s="5">
        <f t="shared" si="31"/>
        <v>4.4719000874618473</v>
      </c>
      <c r="C1026" s="5">
        <f t="shared" si="30"/>
        <v>19.997890392241278</v>
      </c>
    </row>
    <row r="1027" spans="1:3" ht="12.75" customHeight="1" thickBot="1" x14ac:dyDescent="0.3">
      <c r="A1027" s="10">
        <v>45.419264820000002</v>
      </c>
      <c r="B1027" s="5">
        <f t="shared" si="31"/>
        <v>7.7002099874618466</v>
      </c>
      <c r="C1027" s="5">
        <f t="shared" ref="C1027:C1050" si="32">POWER(B1027,2)</f>
        <v>59.293233851007173</v>
      </c>
    </row>
    <row r="1028" spans="1:3" ht="12.75" customHeight="1" thickBot="1" x14ac:dyDescent="0.3">
      <c r="A1028" s="10">
        <v>34.9734798</v>
      </c>
      <c r="B1028" s="5">
        <f t="shared" si="31"/>
        <v>2.7455750325381558</v>
      </c>
      <c r="C1028" s="5">
        <f t="shared" si="32"/>
        <v>7.538182259296895</v>
      </c>
    </row>
    <row r="1029" spans="1:3" ht="12.75" customHeight="1" thickBot="1" x14ac:dyDescent="0.3">
      <c r="A1029" s="10">
        <v>48.242379049999997</v>
      </c>
      <c r="B1029" s="5">
        <f t="shared" si="31"/>
        <v>10.523324217461841</v>
      </c>
      <c r="C1029" s="5">
        <f t="shared" si="32"/>
        <v>110.74035258581887</v>
      </c>
    </row>
    <row r="1030" spans="1:3" ht="12.75" customHeight="1" thickBot="1" x14ac:dyDescent="0.3">
      <c r="A1030" s="10">
        <v>16.042333760000002</v>
      </c>
      <c r="B1030" s="5">
        <f t="shared" si="31"/>
        <v>21.676721072538154</v>
      </c>
      <c r="C1030" s="5">
        <f t="shared" si="32"/>
        <v>469.88023645661963</v>
      </c>
    </row>
    <row r="1031" spans="1:3" ht="12.75" customHeight="1" thickBot="1" x14ac:dyDescent="0.3">
      <c r="A1031" s="10">
        <v>16.02014174</v>
      </c>
      <c r="B1031" s="5">
        <f t="shared" si="31"/>
        <v>21.698913092538156</v>
      </c>
      <c r="C1031" s="5">
        <f t="shared" si="32"/>
        <v>470.84282939752381</v>
      </c>
    </row>
    <row r="1032" spans="1:3" ht="12.75" customHeight="1" thickBot="1" x14ac:dyDescent="0.3">
      <c r="A1032" s="10">
        <v>52.605408310000001</v>
      </c>
      <c r="B1032" s="5">
        <f t="shared" si="31"/>
        <v>14.886353477461846</v>
      </c>
      <c r="C1032" s="5">
        <f t="shared" si="32"/>
        <v>221.60351985594039</v>
      </c>
    </row>
    <row r="1033" spans="1:3" ht="12.75" customHeight="1" thickBot="1" x14ac:dyDescent="0.3">
      <c r="A1033" s="10">
        <v>16.619644109999999</v>
      </c>
      <c r="B1033" s="5">
        <f t="shared" ref="B1033:B1050" si="33">ABS(A1033-$E$2)</f>
        <v>21.099410722538156</v>
      </c>
      <c r="C1033" s="5">
        <f t="shared" si="32"/>
        <v>445.18513283835813</v>
      </c>
    </row>
    <row r="1034" spans="1:3" ht="12.75" customHeight="1" thickBot="1" x14ac:dyDescent="0.3">
      <c r="A1034" s="10">
        <v>24.097108349999999</v>
      </c>
      <c r="B1034" s="5">
        <f t="shared" si="33"/>
        <v>13.621946482538156</v>
      </c>
      <c r="C1034" s="5">
        <f t="shared" si="32"/>
        <v>185.55742597313366</v>
      </c>
    </row>
    <row r="1035" spans="1:3" ht="12.75" customHeight="1" thickBot="1" x14ac:dyDescent="0.3">
      <c r="A1035" s="10">
        <v>12.63520121</v>
      </c>
      <c r="B1035" s="5">
        <f t="shared" si="33"/>
        <v>25.083853622538157</v>
      </c>
      <c r="C1035" s="5">
        <f t="shared" si="32"/>
        <v>629.19971255692064</v>
      </c>
    </row>
    <row r="1036" spans="1:3" ht="12.75" customHeight="1" thickBot="1" x14ac:dyDescent="0.3">
      <c r="A1036" s="10">
        <v>13.963245499999999</v>
      </c>
      <c r="B1036" s="5">
        <f t="shared" si="33"/>
        <v>23.755809332538156</v>
      </c>
      <c r="C1036" s="5">
        <f t="shared" si="32"/>
        <v>564.33847704390701</v>
      </c>
    </row>
    <row r="1037" spans="1:3" ht="12.75" customHeight="1" thickBot="1" x14ac:dyDescent="0.3">
      <c r="A1037" s="10">
        <v>61.577895380000001</v>
      </c>
      <c r="B1037" s="5">
        <f t="shared" si="33"/>
        <v>23.858840547461845</v>
      </c>
      <c r="C1037" s="5">
        <f t="shared" si="32"/>
        <v>569.24427226920943</v>
      </c>
    </row>
    <row r="1038" spans="1:3" ht="12.75" customHeight="1" thickBot="1" x14ac:dyDescent="0.3">
      <c r="A1038" s="10">
        <v>52.553106159999999</v>
      </c>
      <c r="B1038" s="5">
        <f t="shared" si="33"/>
        <v>14.834051327461843</v>
      </c>
      <c r="C1038" s="5">
        <f t="shared" si="32"/>
        <v>220.04907878577248</v>
      </c>
    </row>
    <row r="1039" spans="1:3" ht="12.75" customHeight="1" thickBot="1" x14ac:dyDescent="0.3">
      <c r="A1039" s="10">
        <v>59.97055391</v>
      </c>
      <c r="B1039" s="5">
        <f t="shared" si="33"/>
        <v>22.251499077461844</v>
      </c>
      <c r="C1039" s="5">
        <f t="shared" si="32"/>
        <v>495.12921119428529</v>
      </c>
    </row>
    <row r="1040" spans="1:3" ht="12.75" customHeight="1" thickBot="1" x14ac:dyDescent="0.3">
      <c r="A1040" s="10">
        <v>40.157916950000001</v>
      </c>
      <c r="B1040" s="5">
        <f t="shared" si="33"/>
        <v>2.438862117461845</v>
      </c>
      <c r="C1040" s="5">
        <f t="shared" si="32"/>
        <v>5.9480484279904742</v>
      </c>
    </row>
    <row r="1041" spans="1:3" ht="12.75" customHeight="1" thickBot="1" x14ac:dyDescent="0.3">
      <c r="A1041" s="10">
        <v>49.036695950000002</v>
      </c>
      <c r="B1041" s="5">
        <f t="shared" si="33"/>
        <v>11.317641117461847</v>
      </c>
      <c r="C1041" s="5">
        <f t="shared" si="32"/>
        <v>128.08900046366304</v>
      </c>
    </row>
    <row r="1042" spans="1:3" ht="12.75" customHeight="1" thickBot="1" x14ac:dyDescent="0.3">
      <c r="A1042" s="10">
        <v>51.7402017</v>
      </c>
      <c r="B1042" s="5">
        <f t="shared" si="33"/>
        <v>14.021146867461844</v>
      </c>
      <c r="C1042" s="5">
        <f t="shared" si="32"/>
        <v>196.5925594789351</v>
      </c>
    </row>
    <row r="1043" spans="1:3" ht="12.75" customHeight="1" thickBot="1" x14ac:dyDescent="0.3">
      <c r="A1043" s="10">
        <v>23.813359869999999</v>
      </c>
      <c r="B1043" s="5">
        <f t="shared" si="33"/>
        <v>13.905694962538156</v>
      </c>
      <c r="C1043" s="5">
        <f t="shared" si="32"/>
        <v>193.36835239115905</v>
      </c>
    </row>
    <row r="1044" spans="1:3" ht="12.75" customHeight="1" thickBot="1" x14ac:dyDescent="0.3">
      <c r="A1044" s="10">
        <v>12.81799949</v>
      </c>
      <c r="B1044" s="5">
        <f t="shared" si="33"/>
        <v>24.901055342538157</v>
      </c>
      <c r="C1044" s="5">
        <f t="shared" si="32"/>
        <v>620.0625571721481</v>
      </c>
    </row>
    <row r="1045" spans="1:3" ht="12.75" customHeight="1" thickBot="1" x14ac:dyDescent="0.3">
      <c r="A1045" s="10">
        <v>66.286465800000002</v>
      </c>
      <c r="B1045" s="5">
        <f t="shared" si="33"/>
        <v>28.567410967461846</v>
      </c>
      <c r="C1045" s="5">
        <f t="shared" si="32"/>
        <v>816.09696938385935</v>
      </c>
    </row>
    <row r="1046" spans="1:3" ht="12.75" customHeight="1" thickBot="1" x14ac:dyDescent="0.3">
      <c r="A1046" s="10">
        <v>28.544279549999999</v>
      </c>
      <c r="B1046" s="5">
        <f t="shared" si="33"/>
        <v>9.1747752825381568</v>
      </c>
      <c r="C1046" s="5">
        <f t="shared" si="32"/>
        <v>84.176501485073118</v>
      </c>
    </row>
    <row r="1047" spans="1:3" ht="12.75" customHeight="1" thickBot="1" x14ac:dyDescent="0.3">
      <c r="A1047" s="10">
        <v>16.647022419999999</v>
      </c>
      <c r="B1047" s="5">
        <f t="shared" si="33"/>
        <v>21.072032412538157</v>
      </c>
      <c r="C1047" s="5">
        <f t="shared" si="32"/>
        <v>444.03054999505866</v>
      </c>
    </row>
    <row r="1048" spans="1:3" ht="12.75" customHeight="1" thickBot="1" x14ac:dyDescent="0.3">
      <c r="A1048" s="10">
        <v>40.07894323</v>
      </c>
      <c r="B1048" s="5">
        <f t="shared" si="33"/>
        <v>2.3598883974618445</v>
      </c>
      <c r="C1048" s="5">
        <f t="shared" si="32"/>
        <v>5.5690732484750329</v>
      </c>
    </row>
    <row r="1049" spans="1:3" ht="12.75" customHeight="1" thickBot="1" x14ac:dyDescent="0.3">
      <c r="A1049" s="10">
        <v>51.085002109999998</v>
      </c>
      <c r="B1049" s="5">
        <f t="shared" si="33"/>
        <v>13.365947277461842</v>
      </c>
      <c r="C1049" s="5">
        <f t="shared" si="32"/>
        <v>178.64854662388964</v>
      </c>
    </row>
    <row r="1050" spans="1:3" ht="12.75" customHeight="1" thickBot="1" x14ac:dyDescent="0.3">
      <c r="A1050" s="10">
        <v>22.430099309999999</v>
      </c>
      <c r="B1050" s="5">
        <f t="shared" si="33"/>
        <v>15.288955522538156</v>
      </c>
      <c r="C1050" s="5">
        <f t="shared" si="32"/>
        <v>233.75216097014999</v>
      </c>
    </row>
  </sheetData>
  <sortState ref="A3:C26">
    <sortCondition ref="A3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0AF4-F7DC-46C8-8511-5A36B43BAD1D}">
  <dimension ref="A1:B797"/>
  <sheetViews>
    <sheetView workbookViewId="0">
      <selection activeCell="A24" sqref="A24"/>
    </sheetView>
  </sheetViews>
  <sheetFormatPr defaultRowHeight="13.2" x14ac:dyDescent="0.25"/>
  <cols>
    <col min="1" max="1" width="8.88671875" style="9"/>
    <col min="2" max="2" width="12.21875" style="9" bestFit="1" customWidth="1"/>
  </cols>
  <sheetData>
    <row r="1" spans="1:2" x14ac:dyDescent="0.25">
      <c r="A1" s="9">
        <v>-3.89</v>
      </c>
      <c r="B1" s="9">
        <f>NORMSDIST(A1)</f>
        <v>5.0122110996188361E-5</v>
      </c>
    </row>
    <row r="2" spans="1:2" x14ac:dyDescent="0.25">
      <c r="A2" s="9">
        <v>-3.88</v>
      </c>
      <c r="B2" s="9">
        <f t="shared" ref="B2:B65" si="0">NORMSDIST(A2)</f>
        <v>5.2228232401820074E-5</v>
      </c>
    </row>
    <row r="3" spans="1:2" x14ac:dyDescent="0.25">
      <c r="A3" s="9">
        <v>-3.87</v>
      </c>
      <c r="B3" s="9">
        <f t="shared" si="0"/>
        <v>5.4417676633699602E-5</v>
      </c>
    </row>
    <row r="4" spans="1:2" x14ac:dyDescent="0.25">
      <c r="A4" s="9">
        <v>-3.86</v>
      </c>
      <c r="B4" s="9">
        <f t="shared" si="0"/>
        <v>5.6693512534256526E-5</v>
      </c>
    </row>
    <row r="5" spans="1:2" x14ac:dyDescent="0.25">
      <c r="A5" s="9">
        <v>-3.85</v>
      </c>
      <c r="B5" s="9">
        <f t="shared" si="0"/>
        <v>5.9058912418922381E-5</v>
      </c>
    </row>
    <row r="6" spans="1:2" x14ac:dyDescent="0.25">
      <c r="A6" s="9">
        <v>-3.84</v>
      </c>
      <c r="B6" s="9">
        <f t="shared" si="0"/>
        <v>6.1517155183255203E-5</v>
      </c>
    </row>
    <row r="7" spans="1:2" x14ac:dyDescent="0.25">
      <c r="A7" s="9">
        <v>-3.83</v>
      </c>
      <c r="B7" s="9">
        <f t="shared" si="0"/>
        <v>6.4071629488874441E-5</v>
      </c>
    </row>
    <row r="8" spans="1:2" x14ac:dyDescent="0.25">
      <c r="A8" s="9">
        <v>-3.82</v>
      </c>
      <c r="B8" s="9">
        <f t="shared" si="0"/>
        <v>6.6725837029684654E-5</v>
      </c>
    </row>
    <row r="9" spans="1:2" x14ac:dyDescent="0.25">
      <c r="A9" s="9">
        <v>-3.81</v>
      </c>
      <c r="B9" s="9">
        <f t="shared" si="0"/>
        <v>6.9483395879865075E-5</v>
      </c>
    </row>
    <row r="10" spans="1:2" x14ac:dyDescent="0.25">
      <c r="A10" s="9">
        <v>-3.8</v>
      </c>
      <c r="B10" s="9">
        <f t="shared" si="0"/>
        <v>7.234804392511999E-5</v>
      </c>
    </row>
    <row r="11" spans="1:2" x14ac:dyDescent="0.25">
      <c r="A11" s="9">
        <v>-3.79</v>
      </c>
      <c r="B11" s="9">
        <f t="shared" si="0"/>
        <v>7.5323642378683189E-5</v>
      </c>
    </row>
    <row r="12" spans="1:2" x14ac:dyDescent="0.25">
      <c r="A12" s="9">
        <v>-3.78</v>
      </c>
      <c r="B12" s="9">
        <f t="shared" si="0"/>
        <v>7.8414179383585065E-5</v>
      </c>
    </row>
    <row r="13" spans="1:2" x14ac:dyDescent="0.25">
      <c r="A13" s="9">
        <v>-3.77</v>
      </c>
      <c r="B13" s="9">
        <f t="shared" si="0"/>
        <v>8.1623773702686067E-5</v>
      </c>
    </row>
    <row r="14" spans="1:2" x14ac:dyDescent="0.25">
      <c r="A14" s="9">
        <v>-3.76</v>
      </c>
      <c r="B14" s="9">
        <f t="shared" si="0"/>
        <v>8.4956678497997889E-5</v>
      </c>
    </row>
    <row r="15" spans="1:2" x14ac:dyDescent="0.25">
      <c r="A15" s="9">
        <v>-3.75</v>
      </c>
      <c r="B15" s="9">
        <f t="shared" si="0"/>
        <v>8.841728520080376E-5</v>
      </c>
    </row>
    <row r="16" spans="1:2" x14ac:dyDescent="0.25">
      <c r="A16" s="9">
        <v>-3.74</v>
      </c>
      <c r="B16" s="9">
        <f t="shared" si="0"/>
        <v>9.2010127474105404E-5</v>
      </c>
    </row>
    <row r="17" spans="1:2" x14ac:dyDescent="0.25">
      <c r="A17" s="9">
        <v>-3.73</v>
      </c>
      <c r="B17" s="9">
        <f t="shared" si="0"/>
        <v>9.5739885268914462E-5</v>
      </c>
    </row>
    <row r="18" spans="1:2" x14ac:dyDescent="0.25">
      <c r="A18" s="9">
        <v>-3.72</v>
      </c>
      <c r="B18" s="9">
        <f t="shared" si="0"/>
        <v>9.9611388975916519E-5</v>
      </c>
    </row>
    <row r="19" spans="1:2" x14ac:dyDescent="0.25">
      <c r="A19" s="9">
        <v>-3.71</v>
      </c>
      <c r="B19" s="9">
        <f t="shared" si="0"/>
        <v>1.0362962367403117E-4</v>
      </c>
    </row>
    <row r="20" spans="1:2" x14ac:dyDescent="0.25">
      <c r="A20" s="9">
        <v>-3.7</v>
      </c>
      <c r="B20" s="9">
        <f t="shared" si="0"/>
        <v>1.0779973347738824E-4</v>
      </c>
    </row>
    <row r="21" spans="1:2" x14ac:dyDescent="0.25">
      <c r="A21" s="9">
        <v>-3.69</v>
      </c>
      <c r="B21" s="9">
        <f t="shared" si="0"/>
        <v>1.1212702598224692E-4</v>
      </c>
    </row>
    <row r="22" spans="1:2" x14ac:dyDescent="0.25">
      <c r="A22" s="9">
        <v>-3.68</v>
      </c>
      <c r="B22" s="9">
        <f t="shared" si="0"/>
        <v>1.1661697681536817E-4</v>
      </c>
    </row>
    <row r="23" spans="1:2" x14ac:dyDescent="0.25">
      <c r="A23" s="9">
        <v>-3.67</v>
      </c>
      <c r="B23" s="9">
        <f t="shared" si="0"/>
        <v>1.2127523428535774E-4</v>
      </c>
    </row>
    <row r="24" spans="1:2" x14ac:dyDescent="0.25">
      <c r="A24" s="9">
        <v>-3.66</v>
      </c>
      <c r="B24" s="9">
        <f t="shared" si="0"/>
        <v>1.2610762413848639E-4</v>
      </c>
    </row>
    <row r="25" spans="1:2" x14ac:dyDescent="0.25">
      <c r="A25" s="9">
        <v>-3.65</v>
      </c>
      <c r="B25" s="9">
        <f t="shared" si="0"/>
        <v>1.3112015442048446E-4</v>
      </c>
    </row>
    <row r="26" spans="1:2" x14ac:dyDescent="0.25">
      <c r="A26" s="9">
        <v>-3.64</v>
      </c>
      <c r="B26" s="9">
        <f t="shared" si="0"/>
        <v>1.3631902044580166E-4</v>
      </c>
    </row>
    <row r="27" spans="1:2" x14ac:dyDescent="0.25">
      <c r="A27" s="9">
        <v>-3.63</v>
      </c>
      <c r="B27" s="9">
        <f t="shared" si="0"/>
        <v>1.4171060987581911E-4</v>
      </c>
    </row>
    <row r="28" spans="1:2" x14ac:dyDescent="0.25">
      <c r="A28" s="9">
        <v>-3.62</v>
      </c>
      <c r="B28" s="9">
        <f t="shared" si="0"/>
        <v>1.4730150790747228E-4</v>
      </c>
    </row>
    <row r="29" spans="1:2" x14ac:dyDescent="0.25">
      <c r="A29" s="9">
        <v>-3.61</v>
      </c>
      <c r="B29" s="9">
        <f t="shared" si="0"/>
        <v>1.530985025737551E-4</v>
      </c>
    </row>
    <row r="30" spans="1:2" x14ac:dyDescent="0.25">
      <c r="A30" s="9">
        <v>-3.6</v>
      </c>
      <c r="B30" s="9">
        <f t="shared" si="0"/>
        <v>1.5910859015753364E-4</v>
      </c>
    </row>
    <row r="31" spans="1:2" x14ac:dyDescent="0.25">
      <c r="A31" s="9">
        <v>-3.59</v>
      </c>
      <c r="B31" s="9">
        <f t="shared" si="0"/>
        <v>1.6533898072010957E-4</v>
      </c>
    </row>
    <row r="32" spans="1:2" x14ac:dyDescent="0.25">
      <c r="A32" s="9">
        <v>-3.58</v>
      </c>
      <c r="B32" s="9">
        <f t="shared" si="0"/>
        <v>1.7179710374593045E-4</v>
      </c>
    </row>
    <row r="33" spans="1:2" x14ac:dyDescent="0.25">
      <c r="A33" s="9">
        <v>-3.57</v>
      </c>
      <c r="B33" s="9">
        <f t="shared" si="0"/>
        <v>1.7849061390484743E-4</v>
      </c>
    </row>
    <row r="34" spans="1:2" x14ac:dyDescent="0.25">
      <c r="A34" s="9">
        <v>-3.56</v>
      </c>
      <c r="B34" s="9">
        <f t="shared" si="0"/>
        <v>1.8542739693327775E-4</v>
      </c>
    </row>
    <row r="35" spans="1:2" x14ac:dyDescent="0.25">
      <c r="A35" s="9">
        <v>-3.55</v>
      </c>
      <c r="B35" s="9">
        <f t="shared" si="0"/>
        <v>1.926155756356333E-4</v>
      </c>
    </row>
    <row r="36" spans="1:2" x14ac:dyDescent="0.25">
      <c r="A36" s="9">
        <v>-3.54</v>
      </c>
      <c r="B36" s="9">
        <f t="shared" si="0"/>
        <v>2.0006351600732001E-4</v>
      </c>
    </row>
    <row r="37" spans="1:2" x14ac:dyDescent="0.25">
      <c r="A37" s="9">
        <v>-3.53</v>
      </c>
      <c r="B37" s="9">
        <f t="shared" si="0"/>
        <v>2.0777983348062144E-4</v>
      </c>
    </row>
    <row r="38" spans="1:2" x14ac:dyDescent="0.25">
      <c r="A38" s="9">
        <v>-3.52</v>
      </c>
      <c r="B38" s="9">
        <f t="shared" si="0"/>
        <v>2.1577339929471738E-4</v>
      </c>
    </row>
    <row r="39" spans="1:2" x14ac:dyDescent="0.25">
      <c r="A39" s="9">
        <v>-3.51</v>
      </c>
      <c r="B39" s="9">
        <f t="shared" si="0"/>
        <v>2.2405334699109302E-4</v>
      </c>
    </row>
    <row r="40" spans="1:2" x14ac:dyDescent="0.25">
      <c r="A40" s="9">
        <v>-3.5</v>
      </c>
      <c r="B40" s="9">
        <f t="shared" si="0"/>
        <v>2.3262907903552504E-4</v>
      </c>
    </row>
    <row r="41" spans="1:2" x14ac:dyDescent="0.25">
      <c r="A41" s="9">
        <v>-3.49</v>
      </c>
      <c r="B41" s="9">
        <f t="shared" si="0"/>
        <v>2.4151027356783598E-4</v>
      </c>
    </row>
    <row r="42" spans="1:2" x14ac:dyDescent="0.25">
      <c r="A42" s="9">
        <v>-3.48</v>
      </c>
      <c r="B42" s="9">
        <f t="shared" si="0"/>
        <v>2.5070689128053755E-4</v>
      </c>
    </row>
    <row r="43" spans="1:2" x14ac:dyDescent="0.25">
      <c r="A43" s="9">
        <v>-3.47</v>
      </c>
      <c r="B43" s="9">
        <f t="shared" si="0"/>
        <v>2.6022918242746669E-4</v>
      </c>
    </row>
    <row r="44" spans="1:2" x14ac:dyDescent="0.25">
      <c r="A44" s="9">
        <v>-3.46</v>
      </c>
      <c r="B44" s="9">
        <f t="shared" si="0"/>
        <v>2.7008769396347416E-4</v>
      </c>
    </row>
    <row r="45" spans="1:2" x14ac:dyDescent="0.25">
      <c r="A45" s="9">
        <v>-3.45</v>
      </c>
      <c r="B45" s="9">
        <f t="shared" si="0"/>
        <v>2.8029327681617738E-4</v>
      </c>
    </row>
    <row r="46" spans="1:2" x14ac:dyDescent="0.25">
      <c r="A46" s="9">
        <v>-3.44</v>
      </c>
      <c r="B46" s="9">
        <f t="shared" si="0"/>
        <v>2.908570932907428E-4</v>
      </c>
    </row>
    <row r="47" spans="1:2" x14ac:dyDescent="0.25">
      <c r="A47" s="9">
        <v>-3.43</v>
      </c>
      <c r="B47" s="9">
        <f t="shared" si="0"/>
        <v>3.017906246086367E-4</v>
      </c>
    </row>
    <row r="48" spans="1:2" x14ac:dyDescent="0.25">
      <c r="A48" s="9">
        <v>-3.42</v>
      </c>
      <c r="B48" s="9">
        <f t="shared" si="0"/>
        <v>3.1310567858119958E-4</v>
      </c>
    </row>
    <row r="49" spans="1:2" x14ac:dyDescent="0.25">
      <c r="A49" s="9">
        <v>-3.41</v>
      </c>
      <c r="B49" s="9">
        <f t="shared" si="0"/>
        <v>3.2481439741887741E-4</v>
      </c>
    </row>
    <row r="50" spans="1:2" x14ac:dyDescent="0.25">
      <c r="A50" s="9">
        <v>-3.4</v>
      </c>
      <c r="B50" s="9">
        <f t="shared" si="0"/>
        <v>3.369292656768808E-4</v>
      </c>
    </row>
    <row r="51" spans="1:2" x14ac:dyDescent="0.25">
      <c r="A51" s="9">
        <v>-3.39</v>
      </c>
      <c r="B51" s="9">
        <f t="shared" si="0"/>
        <v>3.4946311833797082E-4</v>
      </c>
    </row>
    <row r="52" spans="1:2" x14ac:dyDescent="0.25">
      <c r="A52" s="9">
        <v>-3.38</v>
      </c>
      <c r="B52" s="9">
        <f t="shared" si="0"/>
        <v>3.6242914903304382E-4</v>
      </c>
    </row>
    <row r="53" spans="1:2" x14ac:dyDescent="0.25">
      <c r="A53" s="9">
        <v>-3.37</v>
      </c>
      <c r="B53" s="9">
        <f t="shared" si="0"/>
        <v>3.7584091840008288E-4</v>
      </c>
    </row>
    <row r="54" spans="1:2" x14ac:dyDescent="0.25">
      <c r="A54" s="9">
        <v>-3.36</v>
      </c>
      <c r="B54" s="9">
        <f t="shared" si="0"/>
        <v>3.8971236258203158E-4</v>
      </c>
    </row>
    <row r="55" spans="1:2" x14ac:dyDescent="0.25">
      <c r="A55" s="9">
        <v>-3.35</v>
      </c>
      <c r="B55" s="9">
        <f t="shared" si="0"/>
        <v>4.0405780186402075E-4</v>
      </c>
    </row>
    <row r="56" spans="1:2" x14ac:dyDescent="0.25">
      <c r="A56" s="9">
        <v>-3.34</v>
      </c>
      <c r="B56" s="9">
        <f t="shared" si="0"/>
        <v>4.1889194945036979E-4</v>
      </c>
    </row>
    <row r="57" spans="1:2" x14ac:dyDescent="0.25">
      <c r="A57" s="9">
        <v>-3.33</v>
      </c>
      <c r="B57" s="9">
        <f t="shared" si="0"/>
        <v>4.3422992038165539E-4</v>
      </c>
    </row>
    <row r="58" spans="1:2" x14ac:dyDescent="0.25">
      <c r="A58" s="9">
        <v>-3.32</v>
      </c>
      <c r="B58" s="9">
        <f t="shared" si="0"/>
        <v>4.5008724059211757E-4</v>
      </c>
    </row>
    <row r="59" spans="1:2" x14ac:dyDescent="0.25">
      <c r="A59" s="9">
        <v>-3.31</v>
      </c>
      <c r="B59" s="9">
        <f t="shared" si="0"/>
        <v>4.6647985610754901E-4</v>
      </c>
    </row>
    <row r="60" spans="1:2" x14ac:dyDescent="0.25">
      <c r="A60" s="9">
        <v>-3.3</v>
      </c>
      <c r="B60" s="9">
        <f t="shared" si="0"/>
        <v>4.8342414238377744E-4</v>
      </c>
    </row>
    <row r="61" spans="1:2" x14ac:dyDescent="0.25">
      <c r="A61" s="9">
        <v>-3.29</v>
      </c>
      <c r="B61" s="9">
        <f t="shared" si="0"/>
        <v>5.0093691378572244E-4</v>
      </c>
    </row>
    <row r="62" spans="1:2" x14ac:dyDescent="0.25">
      <c r="A62" s="9">
        <v>-3.28</v>
      </c>
      <c r="B62" s="9">
        <f t="shared" si="0"/>
        <v>5.190354332069723E-4</v>
      </c>
    </row>
    <row r="63" spans="1:2" x14ac:dyDescent="0.25">
      <c r="A63" s="9">
        <v>-3.27</v>
      </c>
      <c r="B63" s="9">
        <f t="shared" si="0"/>
        <v>5.3773742182969503E-4</v>
      </c>
    </row>
    <row r="64" spans="1:2" x14ac:dyDescent="0.25">
      <c r="A64" s="9">
        <v>-3.26</v>
      </c>
      <c r="B64" s="9">
        <f t="shared" si="0"/>
        <v>5.5706106902462128E-4</v>
      </c>
    </row>
    <row r="65" spans="1:2" x14ac:dyDescent="0.25">
      <c r="A65" s="9">
        <v>-3.25</v>
      </c>
      <c r="B65" s="9">
        <f t="shared" si="0"/>
        <v>5.7702504239076603E-4</v>
      </c>
    </row>
    <row r="66" spans="1:2" x14ac:dyDescent="0.25">
      <c r="A66" s="9">
        <v>-3.24</v>
      </c>
      <c r="B66" s="9">
        <f t="shared" ref="B66:B129" si="1">NORMSDIST(A66)</f>
        <v>5.9764849793441559E-4</v>
      </c>
    </row>
    <row r="67" spans="1:2" x14ac:dyDescent="0.25">
      <c r="A67" s="9">
        <v>-3.23</v>
      </c>
      <c r="B67" s="9">
        <f t="shared" si="1"/>
        <v>6.1895109038683426E-4</v>
      </c>
    </row>
    <row r="68" spans="1:2" x14ac:dyDescent="0.25">
      <c r="A68" s="9">
        <v>-3.22</v>
      </c>
      <c r="B68" s="9">
        <f t="shared" si="1"/>
        <v>6.4095298366005486E-4</v>
      </c>
    </row>
    <row r="69" spans="1:2" x14ac:dyDescent="0.25">
      <c r="A69" s="9">
        <v>-3.21</v>
      </c>
      <c r="B69" s="9">
        <f t="shared" si="1"/>
        <v>6.6367486143996716E-4</v>
      </c>
    </row>
    <row r="70" spans="1:2" x14ac:dyDescent="0.25">
      <c r="A70" s="9">
        <v>-3.2</v>
      </c>
      <c r="B70" s="9">
        <f t="shared" si="1"/>
        <v>6.8713793791584719E-4</v>
      </c>
    </row>
    <row r="71" spans="1:2" x14ac:dyDescent="0.25">
      <c r="A71" s="9">
        <v>-3.19</v>
      </c>
      <c r="B71" s="9">
        <f t="shared" si="1"/>
        <v>7.1136396864536315E-4</v>
      </c>
    </row>
    <row r="72" spans="1:2" x14ac:dyDescent="0.25">
      <c r="A72" s="9">
        <v>-3.18</v>
      </c>
      <c r="B72" s="9">
        <f t="shared" si="1"/>
        <v>7.3637526155392961E-4</v>
      </c>
    </row>
    <row r="73" spans="1:2" x14ac:dyDescent="0.25">
      <c r="A73" s="9">
        <v>-3.17</v>
      </c>
      <c r="B73" s="9">
        <f t="shared" si="1"/>
        <v>7.6219468806723459E-4</v>
      </c>
    </row>
    <row r="74" spans="1:2" x14ac:dyDescent="0.25">
      <c r="A74" s="9">
        <v>-3.16</v>
      </c>
      <c r="B74" s="9">
        <f t="shared" si="1"/>
        <v>7.8884569437557184E-4</v>
      </c>
    </row>
    <row r="75" spans="1:2" x14ac:dyDescent="0.25">
      <c r="A75" s="9">
        <v>-3.15</v>
      </c>
      <c r="B75" s="9">
        <f t="shared" si="1"/>
        <v>8.1635231282856167E-4</v>
      </c>
    </row>
    <row r="76" spans="1:2" x14ac:dyDescent="0.25">
      <c r="A76" s="9">
        <v>-3.14</v>
      </c>
      <c r="B76" s="9">
        <f t="shared" si="1"/>
        <v>8.4473917345862643E-4</v>
      </c>
    </row>
    <row r="77" spans="1:2" x14ac:dyDescent="0.25">
      <c r="A77" s="9">
        <v>-3.13</v>
      </c>
      <c r="B77" s="9">
        <f t="shared" si="1"/>
        <v>8.7403151563156744E-4</v>
      </c>
    </row>
    <row r="78" spans="1:2" x14ac:dyDescent="0.25">
      <c r="A78" s="9">
        <v>-3.12</v>
      </c>
      <c r="B78" s="9">
        <f t="shared" si="1"/>
        <v>9.0425519982233952E-4</v>
      </c>
    </row>
    <row r="79" spans="1:2" x14ac:dyDescent="0.25">
      <c r="A79" s="9">
        <v>-3.11</v>
      </c>
      <c r="B79" s="9">
        <f t="shared" si="1"/>
        <v>9.3543671951410031E-4</v>
      </c>
    </row>
    <row r="80" spans="1:2" x14ac:dyDescent="0.25">
      <c r="A80" s="9">
        <v>-3.1</v>
      </c>
      <c r="B80" s="9">
        <f t="shared" si="1"/>
        <v>9.676032132183561E-4</v>
      </c>
    </row>
    <row r="81" spans="1:2" x14ac:dyDescent="0.25">
      <c r="A81" s="9">
        <v>-3.09</v>
      </c>
      <c r="B81" s="9">
        <f t="shared" si="1"/>
        <v>1.0007824766140115E-3</v>
      </c>
    </row>
    <row r="82" spans="1:2" x14ac:dyDescent="0.25">
      <c r="A82" s="9">
        <v>-3.08</v>
      </c>
      <c r="B82" s="9">
        <f t="shared" si="1"/>
        <v>1.0350029748028415E-3</v>
      </c>
    </row>
    <row r="83" spans="1:2" x14ac:dyDescent="0.25">
      <c r="A83" s="9">
        <v>-3.07</v>
      </c>
      <c r="B83" s="9">
        <f t="shared" si="1"/>
        <v>1.0702938546789222E-3</v>
      </c>
    </row>
    <row r="84" spans="1:2" x14ac:dyDescent="0.25">
      <c r="A84" s="9">
        <v>-3.06</v>
      </c>
      <c r="B84" s="9">
        <f t="shared" si="1"/>
        <v>1.1066849574092469E-3</v>
      </c>
    </row>
    <row r="85" spans="1:2" x14ac:dyDescent="0.25">
      <c r="A85" s="9">
        <v>-3.05</v>
      </c>
      <c r="B85" s="9">
        <f t="shared" si="1"/>
        <v>1.1442068310226975E-3</v>
      </c>
    </row>
    <row r="86" spans="1:2" x14ac:dyDescent="0.25">
      <c r="A86" s="9">
        <v>-3.04</v>
      </c>
      <c r="B86" s="9">
        <f t="shared" si="1"/>
        <v>1.1828907431044044E-3</v>
      </c>
    </row>
    <row r="87" spans="1:2" x14ac:dyDescent="0.25">
      <c r="A87" s="9">
        <v>-3.03</v>
      </c>
      <c r="B87" s="9">
        <f t="shared" si="1"/>
        <v>1.2227686935922593E-3</v>
      </c>
    </row>
    <row r="88" spans="1:2" x14ac:dyDescent="0.25">
      <c r="A88" s="9">
        <v>-3.02</v>
      </c>
      <c r="B88" s="9">
        <f t="shared" si="1"/>
        <v>1.2638734276722969E-3</v>
      </c>
    </row>
    <row r="89" spans="1:2" x14ac:dyDescent="0.25">
      <c r="A89" s="9">
        <v>-3.01</v>
      </c>
      <c r="B89" s="9">
        <f t="shared" si="1"/>
        <v>1.3062384487694675E-3</v>
      </c>
    </row>
    <row r="90" spans="1:2" x14ac:dyDescent="0.25">
      <c r="A90" s="9">
        <v>-3</v>
      </c>
      <c r="B90" s="9">
        <f t="shared" si="1"/>
        <v>1.3498980316300933E-3</v>
      </c>
    </row>
    <row r="91" spans="1:2" x14ac:dyDescent="0.25">
      <c r="A91" s="9">
        <v>-2.99</v>
      </c>
      <c r="B91" s="9">
        <f t="shared" si="1"/>
        <v>1.3948872354922468E-3</v>
      </c>
    </row>
    <row r="92" spans="1:2" x14ac:dyDescent="0.25">
      <c r="A92" s="9">
        <v>-2.98</v>
      </c>
      <c r="B92" s="9">
        <f t="shared" si="1"/>
        <v>1.4412419173400134E-3</v>
      </c>
    </row>
    <row r="93" spans="1:2" x14ac:dyDescent="0.25">
      <c r="A93" s="9">
        <v>-2.97</v>
      </c>
      <c r="B93" s="9">
        <f t="shared" si="1"/>
        <v>1.4889987452374627E-3</v>
      </c>
    </row>
    <row r="94" spans="1:2" x14ac:dyDescent="0.25">
      <c r="A94" s="9">
        <v>-2.96</v>
      </c>
      <c r="B94" s="9">
        <f t="shared" si="1"/>
        <v>1.538195211738057E-3</v>
      </c>
    </row>
    <row r="95" spans="1:2" x14ac:dyDescent="0.25">
      <c r="A95" s="9">
        <v>-2.95</v>
      </c>
      <c r="B95" s="9">
        <f t="shared" si="1"/>
        <v>1.5888696473648663E-3</v>
      </c>
    </row>
    <row r="96" spans="1:2" x14ac:dyDescent="0.25">
      <c r="A96" s="9">
        <v>-2.94</v>
      </c>
      <c r="B96" s="9">
        <f t="shared" si="1"/>
        <v>1.6410612341569962E-3</v>
      </c>
    </row>
    <row r="97" spans="1:2" x14ac:dyDescent="0.25">
      <c r="A97" s="9">
        <v>-2.93</v>
      </c>
      <c r="B97" s="9">
        <f t="shared" si="1"/>
        <v>1.6948100192772594E-3</v>
      </c>
    </row>
    <row r="98" spans="1:2" x14ac:dyDescent="0.25">
      <c r="A98" s="9">
        <v>-2.92</v>
      </c>
      <c r="B98" s="9">
        <f t="shared" si="1"/>
        <v>1.7501569286760988E-3</v>
      </c>
    </row>
    <row r="99" spans="1:2" x14ac:dyDescent="0.25">
      <c r="A99" s="9">
        <v>-2.91</v>
      </c>
      <c r="B99" s="9">
        <f t="shared" si="1"/>
        <v>1.8071437808064271E-3</v>
      </c>
    </row>
    <row r="100" spans="1:2" x14ac:dyDescent="0.25">
      <c r="A100" s="9">
        <v>-2.9</v>
      </c>
      <c r="B100" s="9">
        <f t="shared" si="1"/>
        <v>1.8658133003840378E-3</v>
      </c>
    </row>
    <row r="101" spans="1:2" x14ac:dyDescent="0.25">
      <c r="A101" s="9">
        <v>-2.89</v>
      </c>
      <c r="B101" s="9">
        <f t="shared" si="1"/>
        <v>1.9262091321878587E-3</v>
      </c>
    </row>
    <row r="102" spans="1:2" x14ac:dyDescent="0.25">
      <c r="A102" s="9">
        <v>-2.88</v>
      </c>
      <c r="B102" s="9">
        <f t="shared" si="1"/>
        <v>1.9883758548943252E-3</v>
      </c>
    </row>
    <row r="103" spans="1:2" x14ac:dyDescent="0.25">
      <c r="A103" s="9">
        <v>-2.87</v>
      </c>
      <c r="B103" s="9">
        <f t="shared" si="1"/>
        <v>2.0523589949397532E-3</v>
      </c>
    </row>
    <row r="104" spans="1:2" x14ac:dyDescent="0.25">
      <c r="A104" s="9">
        <v>-2.86</v>
      </c>
      <c r="B104" s="9">
        <f t="shared" si="1"/>
        <v>2.1182050404046204E-3</v>
      </c>
    </row>
    <row r="105" spans="1:2" x14ac:dyDescent="0.25">
      <c r="A105" s="9">
        <v>-2.85</v>
      </c>
      <c r="B105" s="9">
        <f t="shared" si="1"/>
        <v>2.1859614549132396E-3</v>
      </c>
    </row>
    <row r="106" spans="1:2" x14ac:dyDescent="0.25">
      <c r="A106" s="9">
        <v>-2.84</v>
      </c>
      <c r="B106" s="9">
        <f t="shared" si="1"/>
        <v>2.2556766915423207E-3</v>
      </c>
    </row>
    <row r="107" spans="1:2" x14ac:dyDescent="0.25">
      <c r="A107" s="9">
        <v>-2.83</v>
      </c>
      <c r="B107" s="9">
        <f t="shared" si="1"/>
        <v>2.3274002067315515E-3</v>
      </c>
    </row>
    <row r="108" spans="1:2" x14ac:dyDescent="0.25">
      <c r="A108" s="9">
        <v>-2.82</v>
      </c>
      <c r="B108" s="9">
        <f t="shared" si="1"/>
        <v>2.4011824741892529E-3</v>
      </c>
    </row>
    <row r="109" spans="1:2" x14ac:dyDescent="0.25">
      <c r="A109" s="9">
        <v>-2.81</v>
      </c>
      <c r="B109" s="9">
        <f t="shared" si="1"/>
        <v>2.4770749987858601E-3</v>
      </c>
    </row>
    <row r="110" spans="1:2" x14ac:dyDescent="0.25">
      <c r="A110" s="9">
        <v>-2.8</v>
      </c>
      <c r="B110" s="9">
        <f t="shared" si="1"/>
        <v>2.5551303304279312E-3</v>
      </c>
    </row>
    <row r="111" spans="1:2" x14ac:dyDescent="0.25">
      <c r="A111" s="9">
        <v>-2.79</v>
      </c>
      <c r="B111" s="9">
        <f t="shared" si="1"/>
        <v>2.6354020779049505E-3</v>
      </c>
    </row>
    <row r="112" spans="1:2" x14ac:dyDescent="0.25">
      <c r="A112" s="9">
        <v>-2.78</v>
      </c>
      <c r="B112" s="9">
        <f t="shared" si="1"/>
        <v>2.7179449227012573E-3</v>
      </c>
    </row>
    <row r="113" spans="1:2" x14ac:dyDescent="0.25">
      <c r="A113" s="9">
        <v>-2.77</v>
      </c>
      <c r="B113" s="9">
        <f t="shared" si="1"/>
        <v>2.8028146327650242E-3</v>
      </c>
    </row>
    <row r="114" spans="1:2" x14ac:dyDescent="0.25">
      <c r="A114" s="9">
        <v>-2.76</v>
      </c>
      <c r="B114" s="9">
        <f t="shared" si="1"/>
        <v>2.890068076226146E-3</v>
      </c>
    </row>
    <row r="115" spans="1:2" x14ac:dyDescent="0.25">
      <c r="A115" s="9">
        <v>-2.75</v>
      </c>
      <c r="B115" s="9">
        <f t="shared" si="1"/>
        <v>2.9797632350545551E-3</v>
      </c>
    </row>
    <row r="116" spans="1:2" x14ac:dyDescent="0.25">
      <c r="A116" s="9">
        <v>-2.74</v>
      </c>
      <c r="B116" s="9">
        <f t="shared" si="1"/>
        <v>3.071959218650487E-3</v>
      </c>
    </row>
    <row r="117" spans="1:2" x14ac:dyDescent="0.25">
      <c r="A117" s="9">
        <v>-2.73</v>
      </c>
      <c r="B117" s="9">
        <f t="shared" si="1"/>
        <v>3.1667162773577947E-3</v>
      </c>
    </row>
    <row r="118" spans="1:2" x14ac:dyDescent="0.25">
      <c r="A118" s="9">
        <v>-2.72</v>
      </c>
      <c r="B118" s="9">
        <f t="shared" si="1"/>
        <v>3.2640958158913066E-3</v>
      </c>
    </row>
    <row r="119" spans="1:2" x14ac:dyDescent="0.25">
      <c r="A119" s="9">
        <v>-2.71</v>
      </c>
      <c r="B119" s="9">
        <f t="shared" si="1"/>
        <v>3.3641604066691941E-3</v>
      </c>
    </row>
    <row r="120" spans="1:2" x14ac:dyDescent="0.25">
      <c r="A120" s="9">
        <v>-2.7</v>
      </c>
      <c r="B120" s="9">
        <f t="shared" si="1"/>
        <v>3.4669738030406643E-3</v>
      </c>
    </row>
    <row r="121" spans="1:2" x14ac:dyDescent="0.25">
      <c r="A121" s="9">
        <v>-2.69</v>
      </c>
      <c r="B121" s="9">
        <f t="shared" si="1"/>
        <v>3.5726009523997363E-3</v>
      </c>
    </row>
    <row r="122" spans="1:2" x14ac:dyDescent="0.25">
      <c r="A122" s="9">
        <v>-2.68</v>
      </c>
      <c r="B122" s="9">
        <f t="shared" si="1"/>
        <v>3.6811080091749787E-3</v>
      </c>
    </row>
    <row r="123" spans="1:2" x14ac:dyDescent="0.25">
      <c r="A123" s="9">
        <v>-2.67</v>
      </c>
      <c r="B123" s="9">
        <f t="shared" si="1"/>
        <v>3.7925623476854869E-3</v>
      </c>
    </row>
    <row r="124" spans="1:2" x14ac:dyDescent="0.25">
      <c r="A124" s="9">
        <v>-2.66</v>
      </c>
      <c r="B124" s="9">
        <f t="shared" si="1"/>
        <v>3.9070325748527717E-3</v>
      </c>
    </row>
    <row r="125" spans="1:2" x14ac:dyDescent="0.25">
      <c r="A125" s="9">
        <v>-2.65</v>
      </c>
      <c r="B125" s="9">
        <f t="shared" si="1"/>
        <v>4.0245885427583044E-3</v>
      </c>
    </row>
    <row r="126" spans="1:2" x14ac:dyDescent="0.25">
      <c r="A126" s="9">
        <v>-2.64</v>
      </c>
      <c r="B126" s="9">
        <f t="shared" si="1"/>
        <v>4.1453013610360367E-3</v>
      </c>
    </row>
    <row r="127" spans="1:2" x14ac:dyDescent="0.25">
      <c r="A127" s="9">
        <v>-2.63</v>
      </c>
      <c r="B127" s="9">
        <f t="shared" si="1"/>
        <v>4.2692434090893508E-3</v>
      </c>
    </row>
    <row r="128" spans="1:2" x14ac:dyDescent="0.25">
      <c r="A128" s="9">
        <v>-2.62</v>
      </c>
      <c r="B128" s="9">
        <f t="shared" si="1"/>
        <v>4.3964883481213092E-3</v>
      </c>
    </row>
    <row r="129" spans="1:2" x14ac:dyDescent="0.25">
      <c r="A129" s="9">
        <v>-2.61</v>
      </c>
      <c r="B129" s="9">
        <f t="shared" si="1"/>
        <v>4.5271111329673241E-3</v>
      </c>
    </row>
    <row r="130" spans="1:2" x14ac:dyDescent="0.25">
      <c r="A130" s="9">
        <v>-2.6</v>
      </c>
      <c r="B130" s="9">
        <f t="shared" ref="B130:B193" si="2">NORMSDIST(A130)</f>
        <v>4.6611880237187476E-3</v>
      </c>
    </row>
    <row r="131" spans="1:2" x14ac:dyDescent="0.25">
      <c r="A131" s="9">
        <v>-2.59</v>
      </c>
      <c r="B131" s="9">
        <f t="shared" si="2"/>
        <v>4.7987965971261785E-3</v>
      </c>
    </row>
    <row r="132" spans="1:2" x14ac:dyDescent="0.25">
      <c r="A132" s="9">
        <v>-2.58</v>
      </c>
      <c r="B132" s="9">
        <f t="shared" si="2"/>
        <v>4.9400157577706438E-3</v>
      </c>
    </row>
    <row r="133" spans="1:2" x14ac:dyDescent="0.25">
      <c r="A133" s="9">
        <v>-2.57</v>
      </c>
      <c r="B133" s="9">
        <f t="shared" si="2"/>
        <v>5.0849257489910355E-3</v>
      </c>
    </row>
    <row r="134" spans="1:2" x14ac:dyDescent="0.25">
      <c r="A134" s="9">
        <v>-2.56</v>
      </c>
      <c r="B134" s="9">
        <f t="shared" si="2"/>
        <v>5.2336081635557816E-3</v>
      </c>
    </row>
    <row r="135" spans="1:2" x14ac:dyDescent="0.25">
      <c r="A135" s="9">
        <v>-2.5499999999999998</v>
      </c>
      <c r="B135" s="9">
        <f t="shared" si="2"/>
        <v>5.3861459540666869E-3</v>
      </c>
    </row>
    <row r="136" spans="1:2" x14ac:dyDescent="0.25">
      <c r="A136" s="9">
        <v>-2.54</v>
      </c>
      <c r="B136" s="9">
        <f t="shared" si="2"/>
        <v>5.5426234430825993E-3</v>
      </c>
    </row>
    <row r="137" spans="1:2" x14ac:dyDescent="0.25">
      <c r="A137" s="9">
        <v>-2.5299999999999998</v>
      </c>
      <c r="B137" s="9">
        <f t="shared" si="2"/>
        <v>5.7031263329506993E-3</v>
      </c>
    </row>
    <row r="138" spans="1:2" x14ac:dyDescent="0.25">
      <c r="A138" s="9">
        <v>-2.52</v>
      </c>
      <c r="B138" s="9">
        <f t="shared" si="2"/>
        <v>5.8677417153325615E-3</v>
      </c>
    </row>
    <row r="139" spans="1:2" x14ac:dyDescent="0.25">
      <c r="A139" s="9">
        <v>-2.5099999999999998</v>
      </c>
      <c r="B139" s="9">
        <f t="shared" si="2"/>
        <v>6.0365580804126653E-3</v>
      </c>
    </row>
    <row r="140" spans="1:2" x14ac:dyDescent="0.25">
      <c r="A140" s="9">
        <v>-2.5</v>
      </c>
      <c r="B140" s="9">
        <f t="shared" si="2"/>
        <v>6.2096653257761331E-3</v>
      </c>
    </row>
    <row r="141" spans="1:2" x14ac:dyDescent="0.25">
      <c r="A141" s="9">
        <v>-2.4900000000000002</v>
      </c>
      <c r="B141" s="9">
        <f t="shared" si="2"/>
        <v>6.3871547649431704E-3</v>
      </c>
    </row>
    <row r="142" spans="1:2" x14ac:dyDescent="0.25">
      <c r="A142" s="9">
        <v>-2.48</v>
      </c>
      <c r="B142" s="9">
        <f t="shared" si="2"/>
        <v>6.569119135546763E-3</v>
      </c>
    </row>
    <row r="143" spans="1:2" x14ac:dyDescent="0.25">
      <c r="A143" s="9">
        <v>-2.4700000000000002</v>
      </c>
      <c r="B143" s="9">
        <f t="shared" si="2"/>
        <v>6.7556526071406459E-3</v>
      </c>
    </row>
    <row r="144" spans="1:2" x14ac:dyDescent="0.25">
      <c r="A144" s="9">
        <v>-2.46</v>
      </c>
      <c r="B144" s="9">
        <f t="shared" si="2"/>
        <v>6.9468507886243092E-3</v>
      </c>
    </row>
    <row r="145" spans="1:2" x14ac:dyDescent="0.25">
      <c r="A145" s="9">
        <v>-2.4500000000000002</v>
      </c>
      <c r="B145" s="9">
        <f t="shared" si="2"/>
        <v>7.1428107352714144E-3</v>
      </c>
    </row>
    <row r="146" spans="1:2" x14ac:dyDescent="0.25">
      <c r="A146" s="9">
        <v>-2.44</v>
      </c>
      <c r="B146" s="9">
        <f t="shared" si="2"/>
        <v>7.3436309553483459E-3</v>
      </c>
    </row>
    <row r="147" spans="1:2" x14ac:dyDescent="0.25">
      <c r="A147" s="9">
        <v>-2.4300000000000002</v>
      </c>
      <c r="B147" s="9">
        <f t="shared" si="2"/>
        <v>7.5494114163091978E-3</v>
      </c>
    </row>
    <row r="148" spans="1:2" x14ac:dyDescent="0.25">
      <c r="A148" s="9">
        <v>-2.42</v>
      </c>
      <c r="B148" s="9">
        <f t="shared" si="2"/>
        <v>7.7602535505536425E-3</v>
      </c>
    </row>
    <row r="149" spans="1:2" x14ac:dyDescent="0.25">
      <c r="A149" s="9">
        <v>-2.41</v>
      </c>
      <c r="B149" s="9">
        <f t="shared" si="2"/>
        <v>7.9762602607337217E-3</v>
      </c>
    </row>
    <row r="150" spans="1:2" x14ac:dyDescent="0.25">
      <c r="A150" s="9">
        <v>-2.4</v>
      </c>
      <c r="B150" s="9">
        <f t="shared" si="2"/>
        <v>8.1975359245961311E-3</v>
      </c>
    </row>
    <row r="151" spans="1:2" x14ac:dyDescent="0.25">
      <c r="A151" s="9">
        <v>-2.39</v>
      </c>
      <c r="B151" s="9">
        <f t="shared" si="2"/>
        <v>8.4241863993456869E-3</v>
      </c>
    </row>
    <row r="152" spans="1:2" x14ac:dyDescent="0.25">
      <c r="A152" s="9">
        <v>-2.38</v>
      </c>
      <c r="B152" s="9">
        <f t="shared" si="2"/>
        <v>8.6563190255165429E-3</v>
      </c>
    </row>
    <row r="153" spans="1:2" x14ac:dyDescent="0.25">
      <c r="A153" s="9">
        <v>-2.37</v>
      </c>
      <c r="B153" s="9">
        <f t="shared" si="2"/>
        <v>8.8940426303367719E-3</v>
      </c>
    </row>
    <row r="154" spans="1:2" x14ac:dyDescent="0.25">
      <c r="A154" s="9">
        <v>-2.36</v>
      </c>
      <c r="B154" s="9">
        <f t="shared" si="2"/>
        <v>9.1374675305726672E-3</v>
      </c>
    </row>
    <row r="155" spans="1:2" x14ac:dyDescent="0.25">
      <c r="A155" s="9">
        <v>-2.35</v>
      </c>
      <c r="B155" s="9">
        <f t="shared" si="2"/>
        <v>9.3867055348385697E-3</v>
      </c>
    </row>
    <row r="156" spans="1:2" x14ac:dyDescent="0.25">
      <c r="A156" s="9">
        <v>-2.34</v>
      </c>
      <c r="B156" s="9">
        <f t="shared" si="2"/>
        <v>9.6418699453583289E-3</v>
      </c>
    </row>
    <row r="157" spans="1:2" x14ac:dyDescent="0.25">
      <c r="A157" s="9">
        <v>-2.33</v>
      </c>
      <c r="B157" s="9">
        <f t="shared" si="2"/>
        <v>9.9030755591642435E-3</v>
      </c>
    </row>
    <row r="158" spans="1:2" x14ac:dyDescent="0.25">
      <c r="A158" s="9">
        <v>-2.3199999999999998</v>
      </c>
      <c r="B158" s="9">
        <f t="shared" si="2"/>
        <v>1.0170438668719676E-2</v>
      </c>
    </row>
    <row r="159" spans="1:2" x14ac:dyDescent="0.25">
      <c r="A159" s="9">
        <v>-2.31</v>
      </c>
      <c r="B159" s="9">
        <f t="shared" si="2"/>
        <v>1.0444077061951081E-2</v>
      </c>
    </row>
    <row r="160" spans="1:2" x14ac:dyDescent="0.25">
      <c r="A160" s="9">
        <v>-2.2999999999999998</v>
      </c>
      <c r="B160" s="9">
        <f t="shared" si="2"/>
        <v>1.0724110021675811E-2</v>
      </c>
    </row>
    <row r="161" spans="1:2" x14ac:dyDescent="0.25">
      <c r="A161" s="9">
        <v>-2.29</v>
      </c>
      <c r="B161" s="9">
        <f t="shared" si="2"/>
        <v>1.1010658324411384E-2</v>
      </c>
    </row>
    <row r="162" spans="1:2" x14ac:dyDescent="0.25">
      <c r="A162" s="9">
        <v>-2.2799999999999998</v>
      </c>
      <c r="B162" s="9">
        <f t="shared" si="2"/>
        <v>1.1303844238552791E-2</v>
      </c>
    </row>
    <row r="163" spans="1:2" x14ac:dyDescent="0.25">
      <c r="A163" s="9">
        <v>-2.27</v>
      </c>
      <c r="B163" s="9">
        <f t="shared" si="2"/>
        <v>1.1603791521903535E-2</v>
      </c>
    </row>
    <row r="164" spans="1:2" x14ac:dyDescent="0.25">
      <c r="A164" s="9">
        <v>-2.2599999999999998</v>
      </c>
      <c r="B164" s="9">
        <f t="shared" si="2"/>
        <v>1.1910625418547064E-2</v>
      </c>
    </row>
    <row r="165" spans="1:2" x14ac:dyDescent="0.25">
      <c r="A165" s="9">
        <v>-2.25</v>
      </c>
      <c r="B165" s="9">
        <f t="shared" si="2"/>
        <v>1.2224472655044696E-2</v>
      </c>
    </row>
    <row r="166" spans="1:2" x14ac:dyDescent="0.25">
      <c r="A166" s="9">
        <v>-2.2400000000000002</v>
      </c>
      <c r="B166" s="9">
        <f t="shared" si="2"/>
        <v>1.2545461435946561E-2</v>
      </c>
    </row>
    <row r="167" spans="1:2" x14ac:dyDescent="0.25">
      <c r="A167" s="9">
        <v>-2.23</v>
      </c>
      <c r="B167" s="9">
        <f t="shared" si="2"/>
        <v>1.287372143860201E-2</v>
      </c>
    </row>
    <row r="168" spans="1:2" x14ac:dyDescent="0.25">
      <c r="A168" s="9">
        <v>-2.2200000000000002</v>
      </c>
      <c r="B168" s="9">
        <f t="shared" si="2"/>
        <v>1.3209383807256267E-2</v>
      </c>
    </row>
    <row r="169" spans="1:2" x14ac:dyDescent="0.25">
      <c r="A169" s="9">
        <v>-2.21</v>
      </c>
      <c r="B169" s="9">
        <f t="shared" si="2"/>
        <v>1.3552581146419981E-2</v>
      </c>
    </row>
    <row r="170" spans="1:2" x14ac:dyDescent="0.25">
      <c r="A170" s="9">
        <v>-2.2000000000000002</v>
      </c>
      <c r="B170" s="9">
        <f t="shared" si="2"/>
        <v>1.3903447513498597E-2</v>
      </c>
    </row>
    <row r="171" spans="1:2" x14ac:dyDescent="0.25">
      <c r="A171" s="9">
        <v>-2.19</v>
      </c>
      <c r="B171" s="9">
        <f t="shared" si="2"/>
        <v>1.4262118410668875E-2</v>
      </c>
    </row>
    <row r="172" spans="1:2" x14ac:dyDescent="0.25">
      <c r="A172" s="9">
        <v>-2.1800000000000002</v>
      </c>
      <c r="B172" s="9">
        <f t="shared" si="2"/>
        <v>1.4628730775989252E-2</v>
      </c>
    </row>
    <row r="173" spans="1:2" x14ac:dyDescent="0.25">
      <c r="A173" s="9">
        <v>-2.17</v>
      </c>
      <c r="B173" s="9">
        <f t="shared" si="2"/>
        <v>1.5003422973732208E-2</v>
      </c>
    </row>
    <row r="174" spans="1:2" x14ac:dyDescent="0.25">
      <c r="A174" s="9">
        <v>-2.16</v>
      </c>
      <c r="B174" s="9">
        <f t="shared" si="2"/>
        <v>1.538633478392545E-2</v>
      </c>
    </row>
    <row r="175" spans="1:2" x14ac:dyDescent="0.25">
      <c r="A175" s="9">
        <v>-2.15</v>
      </c>
      <c r="B175" s="9">
        <f t="shared" si="2"/>
        <v>1.5777607391090503E-2</v>
      </c>
    </row>
    <row r="176" spans="1:2" x14ac:dyDescent="0.25">
      <c r="A176" s="9">
        <v>-2.14</v>
      </c>
      <c r="B176" s="9">
        <f t="shared" si="2"/>
        <v>1.6177383372166076E-2</v>
      </c>
    </row>
    <row r="177" spans="1:2" x14ac:dyDescent="0.25">
      <c r="A177" s="9">
        <v>-2.13</v>
      </c>
      <c r="B177" s="9">
        <f t="shared" si="2"/>
        <v>1.6585806683605007E-2</v>
      </c>
    </row>
    <row r="178" spans="1:2" x14ac:dyDescent="0.25">
      <c r="A178" s="9">
        <v>-2.12</v>
      </c>
      <c r="B178" s="9">
        <f t="shared" si="2"/>
        <v>1.7003022647632787E-2</v>
      </c>
    </row>
    <row r="179" spans="1:2" x14ac:dyDescent="0.25">
      <c r="A179" s="9">
        <v>-2.11</v>
      </c>
      <c r="B179" s="9">
        <f t="shared" si="2"/>
        <v>1.7429177937657091E-2</v>
      </c>
    </row>
    <row r="180" spans="1:2" x14ac:dyDescent="0.25">
      <c r="A180" s="9">
        <v>-2.1</v>
      </c>
      <c r="B180" s="9">
        <f t="shared" si="2"/>
        <v>1.7864420562816546E-2</v>
      </c>
    </row>
    <row r="181" spans="1:2" x14ac:dyDescent="0.25">
      <c r="A181" s="9">
        <v>-2.09</v>
      </c>
      <c r="B181" s="9">
        <f t="shared" si="2"/>
        <v>1.8308899851658973E-2</v>
      </c>
    </row>
    <row r="182" spans="1:2" x14ac:dyDescent="0.25">
      <c r="A182" s="9">
        <v>-2.08</v>
      </c>
      <c r="B182" s="9">
        <f t="shared" si="2"/>
        <v>1.8762766434937749E-2</v>
      </c>
    </row>
    <row r="183" spans="1:2" x14ac:dyDescent="0.25">
      <c r="A183" s="9">
        <v>-2.0699999999999998</v>
      </c>
      <c r="B183" s="9">
        <f t="shared" si="2"/>
        <v>1.9226172227517276E-2</v>
      </c>
    </row>
    <row r="184" spans="1:2" x14ac:dyDescent="0.25">
      <c r="A184" s="9">
        <v>-2.06</v>
      </c>
      <c r="B184" s="9">
        <f t="shared" si="2"/>
        <v>1.9699270409376895E-2</v>
      </c>
    </row>
    <row r="185" spans="1:2" x14ac:dyDescent="0.25">
      <c r="A185" s="9">
        <v>-2.0499999999999998</v>
      </c>
      <c r="B185" s="9">
        <f t="shared" si="2"/>
        <v>2.0182215405704397E-2</v>
      </c>
    </row>
    <row r="186" spans="1:2" x14ac:dyDescent="0.25">
      <c r="A186" s="9">
        <v>-2.04</v>
      </c>
      <c r="B186" s="9">
        <f t="shared" si="2"/>
        <v>2.0675162866070039E-2</v>
      </c>
    </row>
    <row r="187" spans="1:2" x14ac:dyDescent="0.25">
      <c r="A187" s="9">
        <v>-2.0299999999999998</v>
      </c>
      <c r="B187" s="9">
        <f t="shared" si="2"/>
        <v>2.1178269642672266E-2</v>
      </c>
    </row>
    <row r="188" spans="1:2" x14ac:dyDescent="0.25">
      <c r="A188" s="9">
        <v>-2.02</v>
      </c>
      <c r="B188" s="9">
        <f t="shared" si="2"/>
        <v>2.1691693767646781E-2</v>
      </c>
    </row>
    <row r="189" spans="1:2" x14ac:dyDescent="0.25">
      <c r="A189" s="9">
        <v>-2.0099999999999998</v>
      </c>
      <c r="B189" s="9">
        <f t="shared" si="2"/>
        <v>2.2215594429431475E-2</v>
      </c>
    </row>
    <row r="190" spans="1:2" x14ac:dyDescent="0.25">
      <c r="A190" s="9">
        <v>-2</v>
      </c>
      <c r="B190" s="9">
        <f t="shared" si="2"/>
        <v>2.2750131948179191E-2</v>
      </c>
    </row>
    <row r="191" spans="1:2" x14ac:dyDescent="0.25">
      <c r="A191" s="9">
        <v>-1.99</v>
      </c>
      <c r="B191" s="9">
        <f t="shared" si="2"/>
        <v>2.329546775021182E-2</v>
      </c>
    </row>
    <row r="192" spans="1:2" x14ac:dyDescent="0.25">
      <c r="A192" s="9">
        <v>-1.98</v>
      </c>
      <c r="B192" s="9">
        <f t="shared" si="2"/>
        <v>2.3851764341508513E-2</v>
      </c>
    </row>
    <row r="193" spans="1:2" x14ac:dyDescent="0.25">
      <c r="A193" s="9">
        <v>-1.97</v>
      </c>
      <c r="B193" s="9">
        <f t="shared" si="2"/>
        <v>2.441918528022255E-2</v>
      </c>
    </row>
    <row r="194" spans="1:2" x14ac:dyDescent="0.25">
      <c r="A194" s="9">
        <v>-1.96</v>
      </c>
      <c r="B194" s="9">
        <f t="shared" ref="B194:B257" si="3">NORMSDIST(A194)</f>
        <v>2.4997895148220432E-2</v>
      </c>
    </row>
    <row r="195" spans="1:2" x14ac:dyDescent="0.25">
      <c r="A195" s="9">
        <v>-1.95</v>
      </c>
      <c r="B195" s="9">
        <f t="shared" si="3"/>
        <v>2.5588059521638607E-2</v>
      </c>
    </row>
    <row r="196" spans="1:2" x14ac:dyDescent="0.25">
      <c r="A196" s="9">
        <v>-1.94</v>
      </c>
      <c r="B196" s="9">
        <f t="shared" si="3"/>
        <v>2.6189844940452685E-2</v>
      </c>
    </row>
    <row r="197" spans="1:2" x14ac:dyDescent="0.25">
      <c r="A197" s="9">
        <v>-1.93</v>
      </c>
      <c r="B197" s="9">
        <f t="shared" si="3"/>
        <v>2.6803418877054948E-2</v>
      </c>
    </row>
    <row r="198" spans="1:2" x14ac:dyDescent="0.25">
      <c r="A198" s="9">
        <v>-1.92</v>
      </c>
      <c r="B198" s="9">
        <f t="shared" si="3"/>
        <v>2.7428949703836809E-2</v>
      </c>
    </row>
    <row r="199" spans="1:2" x14ac:dyDescent="0.25">
      <c r="A199" s="9">
        <v>-1.91</v>
      </c>
      <c r="B199" s="9">
        <f t="shared" si="3"/>
        <v>2.8066606659772512E-2</v>
      </c>
    </row>
    <row r="200" spans="1:2" x14ac:dyDescent="0.25">
      <c r="A200" s="9">
        <v>-1.9</v>
      </c>
      <c r="B200" s="9">
        <f t="shared" si="3"/>
        <v>2.87165598160018E-2</v>
      </c>
    </row>
    <row r="201" spans="1:2" x14ac:dyDescent="0.25">
      <c r="A201" s="9">
        <v>-1.89</v>
      </c>
      <c r="B201" s="9">
        <f t="shared" si="3"/>
        <v>2.9378980040409425E-2</v>
      </c>
    </row>
    <row r="202" spans="1:2" x14ac:dyDescent="0.25">
      <c r="A202" s="9">
        <v>-1.88</v>
      </c>
      <c r="B202" s="9">
        <f t="shared" si="3"/>
        <v>3.0054038961199788E-2</v>
      </c>
    </row>
    <row r="203" spans="1:2" x14ac:dyDescent="0.25">
      <c r="A203" s="9">
        <v>-1.87</v>
      </c>
      <c r="B203" s="9">
        <f t="shared" si="3"/>
        <v>3.074190892946595E-2</v>
      </c>
    </row>
    <row r="204" spans="1:2" x14ac:dyDescent="0.25">
      <c r="A204" s="9">
        <v>-1.86</v>
      </c>
      <c r="B204" s="9">
        <f t="shared" si="3"/>
        <v>3.1442762980752693E-2</v>
      </c>
    </row>
    <row r="205" spans="1:2" x14ac:dyDescent="0.25">
      <c r="A205" s="9">
        <v>-1.85</v>
      </c>
      <c r="B205" s="9">
        <f t="shared" si="3"/>
        <v>3.2156774795613713E-2</v>
      </c>
    </row>
    <row r="206" spans="1:2" x14ac:dyDescent="0.25">
      <c r="A206" s="9">
        <v>-1.84</v>
      </c>
      <c r="B206" s="9">
        <f t="shared" si="3"/>
        <v>3.2884118659163887E-2</v>
      </c>
    </row>
    <row r="207" spans="1:2" x14ac:dyDescent="0.25">
      <c r="A207" s="9">
        <v>-1.83</v>
      </c>
      <c r="B207" s="9">
        <f t="shared" si="3"/>
        <v>3.3624969419628316E-2</v>
      </c>
    </row>
    <row r="208" spans="1:2" x14ac:dyDescent="0.25">
      <c r="A208" s="9">
        <v>-1.82</v>
      </c>
      <c r="B208" s="9">
        <f t="shared" si="3"/>
        <v>3.4379502445889977E-2</v>
      </c>
    </row>
    <row r="209" spans="1:2" x14ac:dyDescent="0.25">
      <c r="A209" s="9">
        <v>-1.81</v>
      </c>
      <c r="B209" s="9">
        <f t="shared" si="3"/>
        <v>3.5147893584038796E-2</v>
      </c>
    </row>
    <row r="210" spans="1:2" x14ac:dyDescent="0.25">
      <c r="A210" s="9">
        <v>-1.8</v>
      </c>
      <c r="B210" s="9">
        <f t="shared" si="3"/>
        <v>3.5930319112925789E-2</v>
      </c>
    </row>
    <row r="211" spans="1:2" x14ac:dyDescent="0.25">
      <c r="A211" s="9">
        <v>-1.79</v>
      </c>
      <c r="B211" s="9">
        <f t="shared" si="3"/>
        <v>3.6726955698726291E-2</v>
      </c>
    </row>
    <row r="212" spans="1:2" x14ac:dyDescent="0.25">
      <c r="A212" s="9">
        <v>-1.78</v>
      </c>
      <c r="B212" s="9">
        <f t="shared" si="3"/>
        <v>3.7537980348516783E-2</v>
      </c>
    </row>
    <row r="213" spans="1:2" x14ac:dyDescent="0.25">
      <c r="A213" s="9">
        <v>-1.77</v>
      </c>
      <c r="B213" s="9">
        <f t="shared" si="3"/>
        <v>3.8363570362871233E-2</v>
      </c>
    </row>
    <row r="214" spans="1:2" x14ac:dyDescent="0.25">
      <c r="A214" s="9">
        <v>-1.76</v>
      </c>
      <c r="B214" s="9">
        <f t="shared" si="3"/>
        <v>3.9203903287482647E-2</v>
      </c>
    </row>
    <row r="215" spans="1:2" x14ac:dyDescent="0.25">
      <c r="A215" s="9">
        <v>-1.75</v>
      </c>
      <c r="B215" s="9">
        <f t="shared" si="3"/>
        <v>4.00591568638171E-2</v>
      </c>
    </row>
    <row r="216" spans="1:2" x14ac:dyDescent="0.25">
      <c r="A216" s="9">
        <v>-1.74</v>
      </c>
      <c r="B216" s="9">
        <f t="shared" si="3"/>
        <v>4.0929508978807365E-2</v>
      </c>
    </row>
    <row r="217" spans="1:2" x14ac:dyDescent="0.25">
      <c r="A217" s="9">
        <v>-1.73</v>
      </c>
      <c r="B217" s="9">
        <f t="shared" si="3"/>
        <v>4.181513761359492E-2</v>
      </c>
    </row>
    <row r="218" spans="1:2" x14ac:dyDescent="0.25">
      <c r="A218" s="9">
        <v>-1.72</v>
      </c>
      <c r="B218" s="9">
        <f t="shared" si="3"/>
        <v>4.2716220791328911E-2</v>
      </c>
    </row>
    <row r="219" spans="1:2" x14ac:dyDescent="0.25">
      <c r="A219" s="9">
        <v>-1.71</v>
      </c>
      <c r="B219" s="9">
        <f t="shared" si="3"/>
        <v>4.3632936524031884E-2</v>
      </c>
    </row>
    <row r="220" spans="1:2" x14ac:dyDescent="0.25">
      <c r="A220" s="9">
        <v>-1.7</v>
      </c>
      <c r="B220" s="9">
        <f t="shared" si="3"/>
        <v>4.4565462758543041E-2</v>
      </c>
    </row>
    <row r="221" spans="1:2" x14ac:dyDescent="0.25">
      <c r="A221" s="9">
        <v>-1.69</v>
      </c>
      <c r="B221" s="9">
        <f t="shared" si="3"/>
        <v>4.5513977321549798E-2</v>
      </c>
    </row>
    <row r="222" spans="1:2" x14ac:dyDescent="0.25">
      <c r="A222" s="9">
        <v>-1.68</v>
      </c>
      <c r="B222" s="9">
        <f t="shared" si="3"/>
        <v>4.6478657863720053E-2</v>
      </c>
    </row>
    <row r="223" spans="1:2" x14ac:dyDescent="0.25">
      <c r="A223" s="9">
        <v>-1.67</v>
      </c>
      <c r="B223" s="9">
        <f t="shared" si="3"/>
        <v>4.7459681802947323E-2</v>
      </c>
    </row>
    <row r="224" spans="1:2" x14ac:dyDescent="0.25">
      <c r="A224" s="9">
        <v>-1.66</v>
      </c>
      <c r="B224" s="9">
        <f t="shared" si="3"/>
        <v>4.8457226266722837E-2</v>
      </c>
    </row>
    <row r="225" spans="1:2" x14ac:dyDescent="0.25">
      <c r="A225" s="9">
        <v>-1.65</v>
      </c>
      <c r="B225" s="9">
        <f t="shared" si="3"/>
        <v>4.9471468033648096E-2</v>
      </c>
    </row>
    <row r="226" spans="1:2" x14ac:dyDescent="0.25">
      <c r="A226" s="9">
        <v>-1.64</v>
      </c>
      <c r="B226" s="9">
        <f t="shared" si="3"/>
        <v>5.0502583474103704E-2</v>
      </c>
    </row>
    <row r="227" spans="1:2" x14ac:dyDescent="0.25">
      <c r="A227" s="9">
        <v>-1.63</v>
      </c>
      <c r="B227" s="9">
        <f t="shared" si="3"/>
        <v>5.1550748490089351E-2</v>
      </c>
    </row>
    <row r="228" spans="1:2" x14ac:dyDescent="0.25">
      <c r="A228" s="9">
        <v>-1.62</v>
      </c>
      <c r="B228" s="9">
        <f t="shared" si="3"/>
        <v>5.2616138454252052E-2</v>
      </c>
    </row>
    <row r="229" spans="1:2" x14ac:dyDescent="0.25">
      <c r="A229" s="9">
        <v>-1.61</v>
      </c>
      <c r="B229" s="9">
        <f t="shared" si="3"/>
        <v>5.3698928148119669E-2</v>
      </c>
    </row>
    <row r="230" spans="1:2" x14ac:dyDescent="0.25">
      <c r="A230" s="9">
        <v>-1.6</v>
      </c>
      <c r="B230" s="9">
        <f t="shared" si="3"/>
        <v>5.4799291699557967E-2</v>
      </c>
    </row>
    <row r="231" spans="1:2" x14ac:dyDescent="0.25">
      <c r="A231" s="9">
        <v>-1.59</v>
      </c>
      <c r="B231" s="9">
        <f t="shared" si="3"/>
        <v>5.5917402519469417E-2</v>
      </c>
    </row>
    <row r="232" spans="1:2" x14ac:dyDescent="0.25">
      <c r="A232" s="9">
        <v>-1.58</v>
      </c>
      <c r="B232" s="9">
        <f t="shared" si="3"/>
        <v>5.7053433237754192E-2</v>
      </c>
    </row>
    <row r="233" spans="1:2" x14ac:dyDescent="0.25">
      <c r="A233" s="9">
        <v>-1.57</v>
      </c>
      <c r="B233" s="9">
        <f t="shared" si="3"/>
        <v>5.8207555638553017E-2</v>
      </c>
    </row>
    <row r="234" spans="1:2" x14ac:dyDescent="0.25">
      <c r="A234" s="9">
        <v>-1.56</v>
      </c>
      <c r="B234" s="9">
        <f t="shared" si="3"/>
        <v>5.9379940594793013E-2</v>
      </c>
    </row>
    <row r="235" spans="1:2" x14ac:dyDescent="0.25">
      <c r="A235" s="9">
        <v>-1.55</v>
      </c>
      <c r="B235" s="9">
        <f t="shared" si="3"/>
        <v>6.057075800205898E-2</v>
      </c>
    </row>
    <row r="236" spans="1:2" x14ac:dyDescent="0.25">
      <c r="A236" s="9">
        <v>-1.54</v>
      </c>
      <c r="B236" s="9">
        <f t="shared" si="3"/>
        <v>6.1780176711811879E-2</v>
      </c>
    </row>
    <row r="237" spans="1:2" x14ac:dyDescent="0.25">
      <c r="A237" s="9">
        <v>-1.53</v>
      </c>
      <c r="B237" s="9">
        <f t="shared" si="3"/>
        <v>6.3008364463978436E-2</v>
      </c>
    </row>
    <row r="238" spans="1:2" x14ac:dyDescent="0.25">
      <c r="A238" s="9">
        <v>-1.52</v>
      </c>
      <c r="B238" s="9">
        <f t="shared" si="3"/>
        <v>6.4255487818935766E-2</v>
      </c>
    </row>
    <row r="239" spans="1:2" x14ac:dyDescent="0.25">
      <c r="A239" s="9">
        <v>-1.51</v>
      </c>
      <c r="B239" s="9">
        <f t="shared" si="3"/>
        <v>6.5521712088916481E-2</v>
      </c>
    </row>
    <row r="240" spans="1:2" x14ac:dyDescent="0.25">
      <c r="A240" s="9">
        <v>-1.5</v>
      </c>
      <c r="B240" s="9">
        <f t="shared" si="3"/>
        <v>6.6807201268858057E-2</v>
      </c>
    </row>
    <row r="241" spans="1:2" x14ac:dyDescent="0.25">
      <c r="A241" s="9">
        <v>-1.49</v>
      </c>
      <c r="B241" s="9">
        <f t="shared" si="3"/>
        <v>6.8112117966725436E-2</v>
      </c>
    </row>
    <row r="242" spans="1:2" x14ac:dyDescent="0.25">
      <c r="A242" s="9">
        <v>-1.48</v>
      </c>
      <c r="B242" s="9">
        <f t="shared" si="3"/>
        <v>6.9436623333331698E-2</v>
      </c>
    </row>
    <row r="243" spans="1:2" x14ac:dyDescent="0.25">
      <c r="A243" s="9">
        <v>-1.47</v>
      </c>
      <c r="B243" s="9">
        <f t="shared" si="3"/>
        <v>7.0780876991685518E-2</v>
      </c>
    </row>
    <row r="244" spans="1:2" x14ac:dyDescent="0.25">
      <c r="A244" s="9">
        <v>-1.46</v>
      </c>
      <c r="B244" s="9">
        <f t="shared" si="3"/>
        <v>7.2145036965893777E-2</v>
      </c>
    </row>
    <row r="245" spans="1:2" x14ac:dyDescent="0.25">
      <c r="A245" s="9">
        <v>-1.45</v>
      </c>
      <c r="B245" s="9">
        <f t="shared" si="3"/>
        <v>7.3529259609648373E-2</v>
      </c>
    </row>
    <row r="246" spans="1:2" x14ac:dyDescent="0.25">
      <c r="A246" s="9">
        <v>-1.44</v>
      </c>
      <c r="B246" s="9">
        <f t="shared" si="3"/>
        <v>7.4933699534327061E-2</v>
      </c>
    </row>
    <row r="247" spans="1:2" x14ac:dyDescent="0.25">
      <c r="A247" s="9">
        <v>-1.43</v>
      </c>
      <c r="B247" s="9">
        <f t="shared" si="3"/>
        <v>7.6358509536739116E-2</v>
      </c>
    </row>
    <row r="248" spans="1:2" x14ac:dyDescent="0.25">
      <c r="A248" s="9">
        <v>-1.42</v>
      </c>
      <c r="B248" s="9">
        <f t="shared" si="3"/>
        <v>7.7803840526546347E-2</v>
      </c>
    </row>
    <row r="249" spans="1:2" x14ac:dyDescent="0.25">
      <c r="A249" s="9">
        <v>-1.41</v>
      </c>
      <c r="B249" s="9">
        <f t="shared" si="3"/>
        <v>7.9269841453392401E-2</v>
      </c>
    </row>
    <row r="250" spans="1:2" x14ac:dyDescent="0.25">
      <c r="A250" s="9">
        <v>-1.4</v>
      </c>
      <c r="B250" s="9">
        <f t="shared" si="3"/>
        <v>8.0756659233771053E-2</v>
      </c>
    </row>
    <row r="251" spans="1:2" x14ac:dyDescent="0.25">
      <c r="A251" s="9">
        <v>-1.39</v>
      </c>
      <c r="B251" s="9">
        <f t="shared" si="3"/>
        <v>8.2264438677668916E-2</v>
      </c>
    </row>
    <row r="252" spans="1:2" x14ac:dyDescent="0.25">
      <c r="A252" s="9">
        <v>-1.38</v>
      </c>
      <c r="B252" s="9">
        <f t="shared" si="3"/>
        <v>8.3793322415014262E-2</v>
      </c>
    </row>
    <row r="253" spans="1:2" x14ac:dyDescent="0.25">
      <c r="A253" s="9">
        <v>-1.37</v>
      </c>
      <c r="B253" s="9">
        <f t="shared" si="3"/>
        <v>8.534345082196694E-2</v>
      </c>
    </row>
    <row r="254" spans="1:2" x14ac:dyDescent="0.25">
      <c r="A254" s="9">
        <v>-1.36</v>
      </c>
      <c r="B254" s="9">
        <f t="shared" si="3"/>
        <v>8.6914961947084993E-2</v>
      </c>
    </row>
    <row r="255" spans="1:2" x14ac:dyDescent="0.25">
      <c r="A255" s="9">
        <v>-1.35</v>
      </c>
      <c r="B255" s="9">
        <f t="shared" si="3"/>
        <v>8.8507991437401998E-2</v>
      </c>
    </row>
    <row r="256" spans="1:2" x14ac:dyDescent="0.25">
      <c r="A256" s="9">
        <v>-1.34</v>
      </c>
      <c r="B256" s="9">
        <f t="shared" si="3"/>
        <v>9.0122672464452463E-2</v>
      </c>
    </row>
    <row r="257" spans="1:2" x14ac:dyDescent="0.25">
      <c r="A257" s="9">
        <v>-1.33</v>
      </c>
      <c r="B257" s="9">
        <f t="shared" si="3"/>
        <v>9.1759135650280807E-2</v>
      </c>
    </row>
    <row r="258" spans="1:2" x14ac:dyDescent="0.25">
      <c r="A258" s="9">
        <v>-1.32</v>
      </c>
      <c r="B258" s="9">
        <f t="shared" ref="B258:B321" si="4">NORMSDIST(A258)</f>
        <v>9.3417508993471773E-2</v>
      </c>
    </row>
    <row r="259" spans="1:2" x14ac:dyDescent="0.25">
      <c r="A259" s="9">
        <v>-1.31</v>
      </c>
      <c r="B259" s="9">
        <f t="shared" si="4"/>
        <v>9.5097917795239018E-2</v>
      </c>
    </row>
    <row r="260" spans="1:2" x14ac:dyDescent="0.25">
      <c r="A260" s="9">
        <v>-1.3</v>
      </c>
      <c r="B260" s="9">
        <f t="shared" si="4"/>
        <v>9.6800484585610316E-2</v>
      </c>
    </row>
    <row r="261" spans="1:2" x14ac:dyDescent="0.25">
      <c r="A261" s="9">
        <v>-1.29</v>
      </c>
      <c r="B261" s="9">
        <f t="shared" si="4"/>
        <v>9.8525329049747812E-2</v>
      </c>
    </row>
    <row r="262" spans="1:2" x14ac:dyDescent="0.25">
      <c r="A262" s="9">
        <v>-1.28</v>
      </c>
      <c r="B262" s="9">
        <f t="shared" si="4"/>
        <v>0.10027256795444205</v>
      </c>
    </row>
    <row r="263" spans="1:2" x14ac:dyDescent="0.25">
      <c r="A263" s="9">
        <v>-1.27</v>
      </c>
      <c r="B263" s="9">
        <f t="shared" si="4"/>
        <v>0.1020423150748191</v>
      </c>
    </row>
    <row r="264" spans="1:2" x14ac:dyDescent="0.25">
      <c r="A264" s="9">
        <v>-1.26</v>
      </c>
      <c r="B264" s="9">
        <f t="shared" si="4"/>
        <v>0.10383468112130037</v>
      </c>
    </row>
    <row r="265" spans="1:2" x14ac:dyDescent="0.25">
      <c r="A265" s="9">
        <v>-1.25</v>
      </c>
      <c r="B265" s="9">
        <f t="shared" si="4"/>
        <v>0.10564977366685525</v>
      </c>
    </row>
    <row r="266" spans="1:2" x14ac:dyDescent="0.25">
      <c r="A266" s="9">
        <v>-1.24</v>
      </c>
      <c r="B266" s="9">
        <f t="shared" si="4"/>
        <v>0.1074876970745869</v>
      </c>
    </row>
    <row r="267" spans="1:2" x14ac:dyDescent="0.25">
      <c r="A267" s="9">
        <v>-1.23</v>
      </c>
      <c r="B267" s="9">
        <f t="shared" si="4"/>
        <v>0.1093485524256919</v>
      </c>
    </row>
    <row r="268" spans="1:2" x14ac:dyDescent="0.25">
      <c r="A268" s="9">
        <v>-1.22</v>
      </c>
      <c r="B268" s="9">
        <f t="shared" si="4"/>
        <v>0.11123243744783459</v>
      </c>
    </row>
    <row r="269" spans="1:2" x14ac:dyDescent="0.25">
      <c r="A269" s="9">
        <v>-1.21</v>
      </c>
      <c r="B269" s="9">
        <f t="shared" si="4"/>
        <v>0.11313944644397728</v>
      </c>
    </row>
    <row r="270" spans="1:2" x14ac:dyDescent="0.25">
      <c r="A270" s="9">
        <v>-1.2</v>
      </c>
      <c r="B270" s="9">
        <f t="shared" si="4"/>
        <v>0.11506967022170828</v>
      </c>
    </row>
    <row r="271" spans="1:2" x14ac:dyDescent="0.25">
      <c r="A271" s="9">
        <v>-1.19</v>
      </c>
      <c r="B271" s="9">
        <f t="shared" si="4"/>
        <v>0.11702319602310866</v>
      </c>
    </row>
    <row r="272" spans="1:2" x14ac:dyDescent="0.25">
      <c r="A272" s="9">
        <v>-1.18</v>
      </c>
      <c r="B272" s="9">
        <f t="shared" si="4"/>
        <v>0.11900010745520068</v>
      </c>
    </row>
    <row r="273" spans="1:2" x14ac:dyDescent="0.25">
      <c r="A273" s="9">
        <v>-1.17</v>
      </c>
      <c r="B273" s="9">
        <f t="shared" si="4"/>
        <v>0.12100048442101818</v>
      </c>
    </row>
    <row r="274" spans="1:2" x14ac:dyDescent="0.25">
      <c r="A274" s="9">
        <v>-1.1599999999999999</v>
      </c>
      <c r="B274" s="9">
        <f t="shared" si="4"/>
        <v>0.12302440305134338</v>
      </c>
    </row>
    <row r="275" spans="1:2" x14ac:dyDescent="0.25">
      <c r="A275" s="9">
        <v>-1.1499999999999999</v>
      </c>
      <c r="B275" s="9">
        <f t="shared" si="4"/>
        <v>0.12507193563715024</v>
      </c>
    </row>
    <row r="276" spans="1:2" x14ac:dyDescent="0.25">
      <c r="A276" s="9">
        <v>-1.1399999999999999</v>
      </c>
      <c r="B276" s="9">
        <f t="shared" si="4"/>
        <v>0.12714315056279824</v>
      </c>
    </row>
    <row r="277" spans="1:2" x14ac:dyDescent="0.25">
      <c r="A277" s="9">
        <v>-1.1299999999999999</v>
      </c>
      <c r="B277" s="9">
        <f t="shared" si="4"/>
        <v>0.12923811224001783</v>
      </c>
    </row>
    <row r="278" spans="1:2" x14ac:dyDescent="0.25">
      <c r="A278" s="9">
        <v>-1.1200000000000001</v>
      </c>
      <c r="B278" s="9">
        <f t="shared" si="4"/>
        <v>0.13135688104273069</v>
      </c>
    </row>
    <row r="279" spans="1:2" x14ac:dyDescent="0.25">
      <c r="A279" s="9">
        <v>-1.1100000000000001</v>
      </c>
      <c r="B279" s="9">
        <f t="shared" si="4"/>
        <v>0.1334995132427472</v>
      </c>
    </row>
    <row r="280" spans="1:2" x14ac:dyDescent="0.25">
      <c r="A280" s="9">
        <v>-1.1000000000000001</v>
      </c>
      <c r="B280" s="9">
        <f t="shared" si="4"/>
        <v>0.13566606094638264</v>
      </c>
    </row>
    <row r="281" spans="1:2" x14ac:dyDescent="0.25">
      <c r="A281" s="9">
        <v>-1.0900000000000001</v>
      </c>
      <c r="B281" s="9">
        <f t="shared" si="4"/>
        <v>0.13785657203203544</v>
      </c>
    </row>
    <row r="282" spans="1:2" x14ac:dyDescent="0.25">
      <c r="A282" s="9">
        <v>-1.08</v>
      </c>
      <c r="B282" s="9">
        <f t="shared" si="4"/>
        <v>0.14007109008876906</v>
      </c>
    </row>
    <row r="283" spans="1:2" x14ac:dyDescent="0.25">
      <c r="A283" s="9">
        <v>-1.07</v>
      </c>
      <c r="B283" s="9">
        <f t="shared" si="4"/>
        <v>0.14230965435593917</v>
      </c>
    </row>
    <row r="284" spans="1:2" x14ac:dyDescent="0.25">
      <c r="A284" s="9">
        <v>-1.06</v>
      </c>
      <c r="B284" s="9">
        <f t="shared" si="4"/>
        <v>0.14457229966390958</v>
      </c>
    </row>
    <row r="285" spans="1:2" x14ac:dyDescent="0.25">
      <c r="A285" s="9">
        <v>-1.05</v>
      </c>
      <c r="B285" s="9">
        <f t="shared" si="4"/>
        <v>0.14685905637589594</v>
      </c>
    </row>
    <row r="286" spans="1:2" x14ac:dyDescent="0.25">
      <c r="A286" s="9">
        <v>-1.04</v>
      </c>
      <c r="B286" s="9">
        <f t="shared" si="4"/>
        <v>0.1491699503309814</v>
      </c>
    </row>
    <row r="287" spans="1:2" x14ac:dyDescent="0.25">
      <c r="A287" s="9">
        <v>-1.03</v>
      </c>
      <c r="B287" s="9">
        <f t="shared" si="4"/>
        <v>0.15150500278834367</v>
      </c>
    </row>
    <row r="288" spans="1:2" x14ac:dyDescent="0.25">
      <c r="A288" s="9">
        <v>-1.02</v>
      </c>
      <c r="B288" s="9">
        <f t="shared" si="4"/>
        <v>0.15386423037273483</v>
      </c>
    </row>
    <row r="289" spans="1:2" x14ac:dyDescent="0.25">
      <c r="A289" s="9">
        <v>-1.01</v>
      </c>
      <c r="B289" s="9">
        <f t="shared" si="4"/>
        <v>0.15624764502125454</v>
      </c>
    </row>
    <row r="290" spans="1:2" x14ac:dyDescent="0.25">
      <c r="A290" s="9">
        <v>-1</v>
      </c>
      <c r="B290" s="9">
        <f t="shared" si="4"/>
        <v>0.15865525393145699</v>
      </c>
    </row>
    <row r="291" spans="1:2" x14ac:dyDescent="0.25">
      <c r="A291" s="9">
        <v>-0.99</v>
      </c>
      <c r="B291" s="9">
        <f t="shared" si="4"/>
        <v>0.16108705951083091</v>
      </c>
    </row>
    <row r="292" spans="1:2" x14ac:dyDescent="0.25">
      <c r="A292" s="9">
        <v>-0.98</v>
      </c>
      <c r="B292" s="9">
        <f t="shared" si="4"/>
        <v>0.16354305932769236</v>
      </c>
    </row>
    <row r="293" spans="1:2" x14ac:dyDescent="0.25">
      <c r="A293" s="9">
        <v>-0.97</v>
      </c>
      <c r="B293" s="9">
        <f t="shared" si="4"/>
        <v>0.16602324606352964</v>
      </c>
    </row>
    <row r="294" spans="1:2" x14ac:dyDescent="0.25">
      <c r="A294" s="9">
        <v>-0.96</v>
      </c>
      <c r="B294" s="9">
        <f t="shared" si="4"/>
        <v>0.16852760746683779</v>
      </c>
    </row>
    <row r="295" spans="1:2" x14ac:dyDescent="0.25">
      <c r="A295" s="9">
        <v>-0.95</v>
      </c>
      <c r="B295" s="9">
        <f t="shared" si="4"/>
        <v>0.17105612630848185</v>
      </c>
    </row>
    <row r="296" spans="1:2" x14ac:dyDescent="0.25">
      <c r="A296" s="9">
        <v>-0.94</v>
      </c>
      <c r="B296" s="9">
        <f t="shared" si="4"/>
        <v>0.17360878033862459</v>
      </c>
    </row>
    <row r="297" spans="1:2" x14ac:dyDescent="0.25">
      <c r="A297" s="9">
        <v>-0.93</v>
      </c>
      <c r="B297" s="9">
        <f t="shared" si="4"/>
        <v>0.1761855422452579</v>
      </c>
    </row>
    <row r="298" spans="1:2" x14ac:dyDescent="0.25">
      <c r="A298" s="9">
        <v>-0.92</v>
      </c>
      <c r="B298" s="9">
        <f t="shared" si="4"/>
        <v>0.17878637961437172</v>
      </c>
    </row>
    <row r="299" spans="1:2" x14ac:dyDescent="0.25">
      <c r="A299" s="9">
        <v>-0.91</v>
      </c>
      <c r="B299" s="9">
        <f t="shared" si="4"/>
        <v>0.18141125489179724</v>
      </c>
    </row>
    <row r="300" spans="1:2" x14ac:dyDescent="0.25">
      <c r="A300" s="9">
        <v>-0.9</v>
      </c>
      <c r="B300" s="9">
        <f t="shared" si="4"/>
        <v>0.1840601253467595</v>
      </c>
    </row>
    <row r="301" spans="1:2" x14ac:dyDescent="0.25">
      <c r="A301" s="9">
        <v>-0.89</v>
      </c>
      <c r="B301" s="9">
        <f t="shared" si="4"/>
        <v>0.18673294303717258</v>
      </c>
    </row>
    <row r="302" spans="1:2" x14ac:dyDescent="0.25">
      <c r="A302" s="9">
        <v>-0.88</v>
      </c>
      <c r="B302" s="9">
        <f t="shared" si="4"/>
        <v>0.18942965477671211</v>
      </c>
    </row>
    <row r="303" spans="1:2" x14ac:dyDescent="0.25">
      <c r="A303" s="9">
        <v>-0.87</v>
      </c>
      <c r="B303" s="9">
        <f t="shared" si="4"/>
        <v>0.19215020210369621</v>
      </c>
    </row>
    <row r="304" spans="1:2" x14ac:dyDescent="0.25">
      <c r="A304" s="9">
        <v>-0.86</v>
      </c>
      <c r="B304" s="9">
        <f t="shared" si="4"/>
        <v>0.19489452125180831</v>
      </c>
    </row>
    <row r="305" spans="1:2" x14ac:dyDescent="0.25">
      <c r="A305" s="9">
        <v>-0.85</v>
      </c>
      <c r="B305" s="9">
        <f t="shared" si="4"/>
        <v>0.19766254312269238</v>
      </c>
    </row>
    <row r="306" spans="1:2" x14ac:dyDescent="0.25">
      <c r="A306" s="9">
        <v>-0.84</v>
      </c>
      <c r="B306" s="9">
        <f t="shared" si="4"/>
        <v>0.20045419326044964</v>
      </c>
    </row>
    <row r="307" spans="1:2" x14ac:dyDescent="0.25">
      <c r="A307" s="9">
        <v>-0.83</v>
      </c>
      <c r="B307" s="9">
        <f t="shared" si="4"/>
        <v>0.20326939182806844</v>
      </c>
    </row>
    <row r="308" spans="1:2" x14ac:dyDescent="0.25">
      <c r="A308" s="9">
        <v>-0.82</v>
      </c>
      <c r="B308" s="9">
        <f t="shared" si="4"/>
        <v>0.20610805358581305</v>
      </c>
    </row>
    <row r="309" spans="1:2" x14ac:dyDescent="0.25">
      <c r="A309" s="9">
        <v>-0.81</v>
      </c>
      <c r="B309" s="9">
        <f t="shared" si="4"/>
        <v>0.2089700878716016</v>
      </c>
    </row>
    <row r="310" spans="1:2" x14ac:dyDescent="0.25">
      <c r="A310" s="9">
        <v>-0.8</v>
      </c>
      <c r="B310" s="9">
        <f t="shared" si="4"/>
        <v>0.21185539858339661</v>
      </c>
    </row>
    <row r="311" spans="1:2" x14ac:dyDescent="0.25">
      <c r="A311" s="9">
        <v>-0.79</v>
      </c>
      <c r="B311" s="9">
        <f t="shared" si="4"/>
        <v>0.21476388416363709</v>
      </c>
    </row>
    <row r="312" spans="1:2" x14ac:dyDescent="0.25">
      <c r="A312" s="9">
        <v>-0.78</v>
      </c>
      <c r="B312" s="9">
        <f t="shared" si="4"/>
        <v>0.21769543758573306</v>
      </c>
    </row>
    <row r="313" spans="1:2" x14ac:dyDescent="0.25">
      <c r="A313" s="9">
        <v>-0.77</v>
      </c>
      <c r="B313" s="9">
        <f t="shared" si="4"/>
        <v>0.22064994634264959</v>
      </c>
    </row>
    <row r="314" spans="1:2" x14ac:dyDescent="0.25">
      <c r="A314" s="9">
        <v>-0.76</v>
      </c>
      <c r="B314" s="9">
        <f t="shared" si="4"/>
        <v>0.22362729243759941</v>
      </c>
    </row>
    <row r="315" spans="1:2" x14ac:dyDescent="0.25">
      <c r="A315" s="9">
        <v>-0.75</v>
      </c>
      <c r="B315" s="9">
        <f t="shared" si="4"/>
        <v>0.22662735237686821</v>
      </c>
    </row>
    <row r="316" spans="1:2" x14ac:dyDescent="0.25">
      <c r="A316" s="9">
        <v>-0.74</v>
      </c>
      <c r="B316" s="9">
        <f t="shared" si="4"/>
        <v>0.22964999716479059</v>
      </c>
    </row>
    <row r="317" spans="1:2" x14ac:dyDescent="0.25">
      <c r="A317" s="9">
        <v>-0.73</v>
      </c>
      <c r="B317" s="9">
        <f t="shared" si="4"/>
        <v>0.23269509230089741</v>
      </c>
    </row>
    <row r="318" spans="1:2" x14ac:dyDescent="0.25">
      <c r="A318" s="9">
        <v>-0.72</v>
      </c>
      <c r="B318" s="9">
        <f t="shared" si="4"/>
        <v>0.23576249777925118</v>
      </c>
    </row>
    <row r="319" spans="1:2" x14ac:dyDescent="0.25">
      <c r="A319" s="9">
        <v>-0.71</v>
      </c>
      <c r="B319" s="9">
        <f t="shared" si="4"/>
        <v>0.23885206808998671</v>
      </c>
    </row>
    <row r="320" spans="1:2" x14ac:dyDescent="0.25">
      <c r="A320" s="9">
        <v>-0.7</v>
      </c>
      <c r="B320" s="9">
        <f t="shared" si="4"/>
        <v>0.24196365222307298</v>
      </c>
    </row>
    <row r="321" spans="1:2" x14ac:dyDescent="0.25">
      <c r="A321" s="9">
        <v>-0.69</v>
      </c>
      <c r="B321" s="9">
        <f t="shared" si="4"/>
        <v>0.24509709367430943</v>
      </c>
    </row>
    <row r="322" spans="1:2" x14ac:dyDescent="0.25">
      <c r="A322" s="9">
        <v>-0.68</v>
      </c>
      <c r="B322" s="9">
        <f t="shared" ref="B322:B385" si="5">NORMSDIST(A322)</f>
        <v>0.24825223045357048</v>
      </c>
    </row>
    <row r="323" spans="1:2" x14ac:dyDescent="0.25">
      <c r="A323" s="9">
        <v>-0.67</v>
      </c>
      <c r="B323" s="9">
        <f t="shared" si="5"/>
        <v>0.25142889509531008</v>
      </c>
    </row>
    <row r="324" spans="1:2" x14ac:dyDescent="0.25">
      <c r="A324" s="9">
        <v>-0.66</v>
      </c>
      <c r="B324" s="9">
        <f t="shared" si="5"/>
        <v>0.25462691467133608</v>
      </c>
    </row>
    <row r="325" spans="1:2" x14ac:dyDescent="0.25">
      <c r="A325" s="9">
        <v>-0.65</v>
      </c>
      <c r="B325" s="9">
        <f t="shared" si="5"/>
        <v>0.25784611080586467</v>
      </c>
    </row>
    <row r="326" spans="1:2" x14ac:dyDescent="0.25">
      <c r="A326" s="9">
        <v>-0.64</v>
      </c>
      <c r="B326" s="9">
        <f t="shared" si="5"/>
        <v>0.26108629969286151</v>
      </c>
    </row>
    <row r="327" spans="1:2" x14ac:dyDescent="0.25">
      <c r="A327" s="9">
        <v>-0.63</v>
      </c>
      <c r="B327" s="9">
        <f t="shared" si="5"/>
        <v>0.26434729211567748</v>
      </c>
    </row>
    <row r="328" spans="1:2" x14ac:dyDescent="0.25">
      <c r="A328" s="9">
        <v>-0.62</v>
      </c>
      <c r="B328" s="9">
        <f t="shared" si="5"/>
        <v>0.267628893468983</v>
      </c>
    </row>
    <row r="329" spans="1:2" x14ac:dyDescent="0.25">
      <c r="A329" s="9">
        <v>-0.61</v>
      </c>
      <c r="B329" s="9">
        <f t="shared" si="5"/>
        <v>0.27093090378300566</v>
      </c>
    </row>
    <row r="330" spans="1:2" x14ac:dyDescent="0.25">
      <c r="A330" s="9">
        <v>-0.6</v>
      </c>
      <c r="B330" s="9">
        <f t="shared" si="5"/>
        <v>0.27425311775007355</v>
      </c>
    </row>
    <row r="331" spans="1:2" x14ac:dyDescent="0.25">
      <c r="A331" s="9">
        <v>-0.59</v>
      </c>
      <c r="B331" s="9">
        <f t="shared" si="5"/>
        <v>0.27759532475346493</v>
      </c>
    </row>
    <row r="332" spans="1:2" x14ac:dyDescent="0.25">
      <c r="A332" s="9">
        <v>-0.57999999999999996</v>
      </c>
      <c r="B332" s="9">
        <f t="shared" si="5"/>
        <v>0.2809573088985643</v>
      </c>
    </row>
    <row r="333" spans="1:2" x14ac:dyDescent="0.25">
      <c r="A333" s="9">
        <v>-0.56999999999999995</v>
      </c>
      <c r="B333" s="9">
        <f t="shared" si="5"/>
        <v>0.28433884904632412</v>
      </c>
    </row>
    <row r="334" spans="1:2" x14ac:dyDescent="0.25">
      <c r="A334" s="9">
        <v>-0.56000000000000005</v>
      </c>
      <c r="B334" s="9">
        <f t="shared" si="5"/>
        <v>0.28773971884902705</v>
      </c>
    </row>
    <row r="335" spans="1:2" x14ac:dyDescent="0.25">
      <c r="A335" s="9">
        <v>-0.55000000000000004</v>
      </c>
      <c r="B335" s="9">
        <f t="shared" si="5"/>
        <v>0.29115968678834636</v>
      </c>
    </row>
    <row r="336" spans="1:2" x14ac:dyDescent="0.25">
      <c r="A336" s="9">
        <v>-0.54</v>
      </c>
      <c r="B336" s="9">
        <f t="shared" si="5"/>
        <v>0.29459851621569799</v>
      </c>
    </row>
    <row r="337" spans="1:2" x14ac:dyDescent="0.25">
      <c r="A337" s="9">
        <v>-0.53</v>
      </c>
      <c r="B337" s="9">
        <f t="shared" si="5"/>
        <v>0.29805596539487639</v>
      </c>
    </row>
    <row r="338" spans="1:2" x14ac:dyDescent="0.25">
      <c r="A338" s="9">
        <v>-0.52</v>
      </c>
      <c r="B338" s="9">
        <f t="shared" si="5"/>
        <v>0.30153178754696619</v>
      </c>
    </row>
    <row r="339" spans="1:2" x14ac:dyDescent="0.25">
      <c r="A339" s="9">
        <v>-0.51</v>
      </c>
      <c r="B339" s="9">
        <f t="shared" si="5"/>
        <v>0.30502573089751939</v>
      </c>
    </row>
    <row r="340" spans="1:2" x14ac:dyDescent="0.25">
      <c r="A340" s="9">
        <v>-0.5</v>
      </c>
      <c r="B340" s="9">
        <f t="shared" si="5"/>
        <v>0.30853753872598688</v>
      </c>
    </row>
    <row r="341" spans="1:2" x14ac:dyDescent="0.25">
      <c r="A341" s="9">
        <v>-0.49</v>
      </c>
      <c r="B341" s="9">
        <f t="shared" si="5"/>
        <v>0.31206694941739055</v>
      </c>
    </row>
    <row r="342" spans="1:2" x14ac:dyDescent="0.25">
      <c r="A342" s="9">
        <v>-0.48</v>
      </c>
      <c r="B342" s="9">
        <f t="shared" si="5"/>
        <v>0.31561369651622256</v>
      </c>
    </row>
    <row r="343" spans="1:2" x14ac:dyDescent="0.25">
      <c r="A343" s="9">
        <v>-0.47</v>
      </c>
      <c r="B343" s="9">
        <f t="shared" si="5"/>
        <v>0.3191775087825558</v>
      </c>
    </row>
    <row r="344" spans="1:2" x14ac:dyDescent="0.25">
      <c r="A344" s="9">
        <v>-0.46</v>
      </c>
      <c r="B344" s="9">
        <f t="shared" si="5"/>
        <v>0.32275811025034773</v>
      </c>
    </row>
    <row r="345" spans="1:2" x14ac:dyDescent="0.25">
      <c r="A345" s="9">
        <v>-0.45</v>
      </c>
      <c r="B345" s="9">
        <f t="shared" si="5"/>
        <v>0.32635522028791997</v>
      </c>
    </row>
    <row r="346" spans="1:2" x14ac:dyDescent="0.25">
      <c r="A346" s="9">
        <v>-0.44</v>
      </c>
      <c r="B346" s="9">
        <f t="shared" si="5"/>
        <v>0.32996855366059363</v>
      </c>
    </row>
    <row r="347" spans="1:2" x14ac:dyDescent="0.25">
      <c r="A347" s="9">
        <v>-0.43</v>
      </c>
      <c r="B347" s="9">
        <f t="shared" si="5"/>
        <v>0.33359782059545762</v>
      </c>
    </row>
    <row r="348" spans="1:2" x14ac:dyDescent="0.25">
      <c r="A348" s="9">
        <v>-0.42</v>
      </c>
      <c r="B348" s="9">
        <f t="shared" si="5"/>
        <v>0.33724272684824952</v>
      </c>
    </row>
    <row r="349" spans="1:2" x14ac:dyDescent="0.25">
      <c r="A349" s="9">
        <v>-0.41</v>
      </c>
      <c r="B349" s="9">
        <f t="shared" si="5"/>
        <v>0.34090297377232259</v>
      </c>
    </row>
    <row r="350" spans="1:2" x14ac:dyDescent="0.25">
      <c r="A350" s="9">
        <v>-0.4</v>
      </c>
      <c r="B350" s="9">
        <f t="shared" si="5"/>
        <v>0.34457825838967576</v>
      </c>
    </row>
    <row r="351" spans="1:2" x14ac:dyDescent="0.25">
      <c r="A351" s="9">
        <v>-0.39</v>
      </c>
      <c r="B351" s="9">
        <f t="shared" si="5"/>
        <v>0.34826827346401756</v>
      </c>
    </row>
    <row r="352" spans="1:2" x14ac:dyDescent="0.25">
      <c r="A352" s="9">
        <v>-0.38</v>
      </c>
      <c r="B352" s="9">
        <f t="shared" si="5"/>
        <v>0.35197270757583721</v>
      </c>
    </row>
    <row r="353" spans="1:2" x14ac:dyDescent="0.25">
      <c r="A353" s="9">
        <v>-0.37</v>
      </c>
      <c r="B353" s="9">
        <f t="shared" si="5"/>
        <v>0.35569124519945322</v>
      </c>
    </row>
    <row r="354" spans="1:2" x14ac:dyDescent="0.25">
      <c r="A354" s="9">
        <v>-0.36</v>
      </c>
      <c r="B354" s="9">
        <f t="shared" si="5"/>
        <v>0.35942356678200876</v>
      </c>
    </row>
    <row r="355" spans="1:2" x14ac:dyDescent="0.25">
      <c r="A355" s="9">
        <v>-0.35</v>
      </c>
      <c r="B355" s="9">
        <f t="shared" si="5"/>
        <v>0.3631693488243809</v>
      </c>
    </row>
    <row r="356" spans="1:2" x14ac:dyDescent="0.25">
      <c r="A356" s="9">
        <v>-0.34</v>
      </c>
      <c r="B356" s="9">
        <f t="shared" si="5"/>
        <v>0.36692826396397193</v>
      </c>
    </row>
    <row r="357" spans="1:2" x14ac:dyDescent="0.25">
      <c r="A357" s="9">
        <v>-0.33</v>
      </c>
      <c r="B357" s="9">
        <f t="shared" si="5"/>
        <v>0.37069998105934643</v>
      </c>
    </row>
    <row r="358" spans="1:2" x14ac:dyDescent="0.25">
      <c r="A358" s="9">
        <v>-0.32</v>
      </c>
      <c r="B358" s="9">
        <f t="shared" si="5"/>
        <v>0.37448416527667994</v>
      </c>
    </row>
    <row r="359" spans="1:2" x14ac:dyDescent="0.25">
      <c r="A359" s="9">
        <v>-0.31</v>
      </c>
      <c r="B359" s="9">
        <f t="shared" si="5"/>
        <v>0.37828047817798072</v>
      </c>
    </row>
    <row r="360" spans="1:2" x14ac:dyDescent="0.25">
      <c r="A360" s="9">
        <v>-0.3</v>
      </c>
      <c r="B360" s="9">
        <f t="shared" si="5"/>
        <v>0.38208857781104733</v>
      </c>
    </row>
    <row r="361" spans="1:2" x14ac:dyDescent="0.25">
      <c r="A361" s="9">
        <v>-0.28999999999999998</v>
      </c>
      <c r="B361" s="9">
        <f t="shared" si="5"/>
        <v>0.38590811880112269</v>
      </c>
    </row>
    <row r="362" spans="1:2" x14ac:dyDescent="0.25">
      <c r="A362" s="9">
        <v>-0.28000000000000003</v>
      </c>
      <c r="B362" s="9">
        <f t="shared" si="5"/>
        <v>0.38973875244420275</v>
      </c>
    </row>
    <row r="363" spans="1:2" x14ac:dyDescent="0.25">
      <c r="A363" s="9">
        <v>-0.27</v>
      </c>
      <c r="B363" s="9">
        <f t="shared" si="5"/>
        <v>0.39358012680196047</v>
      </c>
    </row>
    <row r="364" spans="1:2" x14ac:dyDescent="0.25">
      <c r="A364" s="9">
        <v>-0.26</v>
      </c>
      <c r="B364" s="9">
        <f t="shared" si="5"/>
        <v>0.39743188679823949</v>
      </c>
    </row>
    <row r="365" spans="1:2" x14ac:dyDescent="0.25">
      <c r="A365" s="9">
        <v>-0.25</v>
      </c>
      <c r="B365" s="9">
        <f t="shared" si="5"/>
        <v>0.4012936743170763</v>
      </c>
    </row>
    <row r="366" spans="1:2" x14ac:dyDescent="0.25">
      <c r="A366" s="9">
        <v>-0.24</v>
      </c>
      <c r="B366" s="9">
        <f t="shared" si="5"/>
        <v>0.40516512830220414</v>
      </c>
    </row>
    <row r="367" spans="1:2" x14ac:dyDescent="0.25">
      <c r="A367" s="9">
        <v>-0.23</v>
      </c>
      <c r="B367" s="9">
        <f t="shared" si="5"/>
        <v>0.40904588485799409</v>
      </c>
    </row>
    <row r="368" spans="1:2" x14ac:dyDescent="0.25">
      <c r="A368" s="9">
        <v>-0.22</v>
      </c>
      <c r="B368" s="9">
        <f t="shared" si="5"/>
        <v>0.41293557735178538</v>
      </c>
    </row>
    <row r="369" spans="1:2" x14ac:dyDescent="0.25">
      <c r="A369" s="9">
        <v>-0.21</v>
      </c>
      <c r="B369" s="9">
        <f t="shared" si="5"/>
        <v>0.41683383651755768</v>
      </c>
    </row>
    <row r="370" spans="1:2" x14ac:dyDescent="0.25">
      <c r="A370" s="9">
        <v>-0.2</v>
      </c>
      <c r="B370" s="9">
        <f t="shared" si="5"/>
        <v>0.42074029056089696</v>
      </c>
    </row>
    <row r="371" spans="1:2" x14ac:dyDescent="0.25">
      <c r="A371" s="9">
        <v>-0.19</v>
      </c>
      <c r="B371" s="9">
        <f t="shared" si="5"/>
        <v>0.42465456526520451</v>
      </c>
    </row>
    <row r="372" spans="1:2" x14ac:dyDescent="0.25">
      <c r="A372" s="9">
        <v>-0.18</v>
      </c>
      <c r="B372" s="9">
        <f t="shared" si="5"/>
        <v>0.42857628409909926</v>
      </c>
    </row>
    <row r="373" spans="1:2" x14ac:dyDescent="0.25">
      <c r="A373" s="9">
        <v>-0.17</v>
      </c>
      <c r="B373" s="9">
        <f t="shared" si="5"/>
        <v>0.43250506832496155</v>
      </c>
    </row>
    <row r="374" spans="1:2" x14ac:dyDescent="0.25">
      <c r="A374" s="9">
        <v>-0.16</v>
      </c>
      <c r="B374" s="9">
        <f t="shared" si="5"/>
        <v>0.43644053710856717</v>
      </c>
    </row>
    <row r="375" spans="1:2" x14ac:dyDescent="0.25">
      <c r="A375" s="9">
        <v>-0.15</v>
      </c>
      <c r="B375" s="9">
        <f t="shared" si="5"/>
        <v>0.4403823076297575</v>
      </c>
    </row>
    <row r="376" spans="1:2" x14ac:dyDescent="0.25">
      <c r="A376" s="9">
        <v>-0.14000000000000001</v>
      </c>
      <c r="B376" s="9">
        <f t="shared" si="5"/>
        <v>0.44432999519409355</v>
      </c>
    </row>
    <row r="377" spans="1:2" x14ac:dyDescent="0.25">
      <c r="A377" s="9">
        <v>-0.13</v>
      </c>
      <c r="B377" s="9">
        <f t="shared" si="5"/>
        <v>0.44828321334543886</v>
      </c>
    </row>
    <row r="378" spans="1:2" x14ac:dyDescent="0.25">
      <c r="A378" s="9">
        <v>-0.12</v>
      </c>
      <c r="B378" s="9">
        <f t="shared" si="5"/>
        <v>0.45224157397941611</v>
      </c>
    </row>
    <row r="379" spans="1:2" x14ac:dyDescent="0.25">
      <c r="A379" s="9">
        <v>-0.11</v>
      </c>
      <c r="B379" s="9">
        <f t="shared" si="5"/>
        <v>0.45620468745768322</v>
      </c>
    </row>
    <row r="380" spans="1:2" x14ac:dyDescent="0.25">
      <c r="A380" s="9">
        <v>-0.1</v>
      </c>
      <c r="B380" s="9">
        <f t="shared" si="5"/>
        <v>0.46017216272297101</v>
      </c>
    </row>
    <row r="381" spans="1:2" x14ac:dyDescent="0.25">
      <c r="A381" s="9">
        <v>-8.9999999999999858E-2</v>
      </c>
      <c r="B381" s="9">
        <f t="shared" si="5"/>
        <v>0.46414360741482796</v>
      </c>
    </row>
    <row r="382" spans="1:2" x14ac:dyDescent="0.25">
      <c r="A382" s="9">
        <v>-8.0000000000000071E-2</v>
      </c>
      <c r="B382" s="9">
        <f t="shared" si="5"/>
        <v>0.46811862798601256</v>
      </c>
    </row>
    <row r="383" spans="1:2" x14ac:dyDescent="0.25">
      <c r="A383" s="9">
        <v>-6.999999999999984E-2</v>
      </c>
      <c r="B383" s="9">
        <f t="shared" si="5"/>
        <v>0.47209682981947898</v>
      </c>
    </row>
    <row r="384" spans="1:2" x14ac:dyDescent="0.25">
      <c r="A384" s="9">
        <v>-6.0000000000000053E-2</v>
      </c>
      <c r="B384" s="9">
        <f t="shared" si="5"/>
        <v>0.47607781734589311</v>
      </c>
    </row>
    <row r="385" spans="1:2" x14ac:dyDescent="0.25">
      <c r="A385" s="9">
        <v>-5.0000000000000266E-2</v>
      </c>
      <c r="B385" s="9">
        <f t="shared" si="5"/>
        <v>0.4800611941616274</v>
      </c>
    </row>
    <row r="386" spans="1:2" x14ac:dyDescent="0.25">
      <c r="A386" s="9">
        <v>-0.04</v>
      </c>
      <c r="B386" s="9">
        <f t="shared" ref="B386:B399" si="6">NORMSDIST(A386)</f>
        <v>0.48404656314716926</v>
      </c>
    </row>
    <row r="387" spans="1:2" x14ac:dyDescent="0.25">
      <c r="A387" s="9">
        <v>-3.0000000000000249E-2</v>
      </c>
      <c r="B387" s="9">
        <f t="shared" si="6"/>
        <v>0.48803352658588728</v>
      </c>
    </row>
    <row r="388" spans="1:2" x14ac:dyDescent="0.25">
      <c r="A388" s="9">
        <v>-0.02</v>
      </c>
      <c r="B388" s="9">
        <f t="shared" si="6"/>
        <v>0.492021686283098</v>
      </c>
    </row>
    <row r="389" spans="1:2" x14ac:dyDescent="0.25">
      <c r="A389" s="9">
        <v>-1.0000000000000231E-2</v>
      </c>
      <c r="B389" s="9">
        <f t="shared" si="6"/>
        <v>0.49601064368536829</v>
      </c>
    </row>
    <row r="390" spans="1:2" x14ac:dyDescent="0.25">
      <c r="A390" s="9">
        <v>-8.9999999999999993E-3</v>
      </c>
      <c r="B390" s="9">
        <f t="shared" si="6"/>
        <v>0.49640956794728525</v>
      </c>
    </row>
    <row r="391" spans="1:2" x14ac:dyDescent="0.25">
      <c r="A391" s="9">
        <v>-8.0000000000000002E-3</v>
      </c>
      <c r="B391" s="9">
        <f t="shared" si="6"/>
        <v>0.49680849579953634</v>
      </c>
    </row>
    <row r="392" spans="1:2" x14ac:dyDescent="0.25">
      <c r="A392" s="9">
        <v>-7.0000000000000001E-3</v>
      </c>
      <c r="B392" s="9">
        <f t="shared" si="6"/>
        <v>0.49720742684322272</v>
      </c>
    </row>
    <row r="393" spans="1:2" x14ac:dyDescent="0.25">
      <c r="A393" s="9">
        <v>-6.0000000000000001E-3</v>
      </c>
      <c r="B393" s="9">
        <f t="shared" si="6"/>
        <v>0.49760636067943592</v>
      </c>
    </row>
    <row r="394" spans="1:2" x14ac:dyDescent="0.25">
      <c r="A394" s="9">
        <v>-5.0000000000000001E-3</v>
      </c>
      <c r="B394" s="9">
        <f t="shared" si="6"/>
        <v>0.49800529690925915</v>
      </c>
    </row>
    <row r="395" spans="1:2" x14ac:dyDescent="0.25">
      <c r="A395" s="9">
        <v>-4.0000000000000001E-3</v>
      </c>
      <c r="B395" s="9">
        <f t="shared" si="6"/>
        <v>0.49840423513376836</v>
      </c>
    </row>
    <row r="396" spans="1:2" x14ac:dyDescent="0.25">
      <c r="A396" s="9">
        <v>-3.0000000000000001E-3</v>
      </c>
      <c r="B396" s="9">
        <f t="shared" si="6"/>
        <v>0.49880317495403353</v>
      </c>
    </row>
    <row r="397" spans="1:2" x14ac:dyDescent="0.25">
      <c r="A397" s="9">
        <v>-2E-3</v>
      </c>
      <c r="B397" s="9">
        <f t="shared" si="6"/>
        <v>0.49920211597111985</v>
      </c>
    </row>
    <row r="398" spans="1:2" x14ac:dyDescent="0.25">
      <c r="A398" s="9">
        <v>-1E-3</v>
      </c>
      <c r="B398" s="9">
        <f t="shared" si="6"/>
        <v>0.49960105778608893</v>
      </c>
    </row>
    <row r="399" spans="1:2" x14ac:dyDescent="0.25">
      <c r="A399" s="9">
        <v>0</v>
      </c>
      <c r="B399" s="9">
        <f t="shared" si="6"/>
        <v>0.5</v>
      </c>
    </row>
    <row r="400" spans="1:2" x14ac:dyDescent="0.25">
      <c r="A400" s="9">
        <v>1E-3</v>
      </c>
      <c r="B400" s="9">
        <f t="shared" ref="B400:B408" si="7">1-NORMSDIST(A400)</f>
        <v>0.49960105778608899</v>
      </c>
    </row>
    <row r="401" spans="1:2" x14ac:dyDescent="0.25">
      <c r="A401" s="9">
        <v>2E-3</v>
      </c>
      <c r="B401" s="9">
        <f t="shared" si="7"/>
        <v>0.49920211597111985</v>
      </c>
    </row>
    <row r="402" spans="1:2" x14ac:dyDescent="0.25">
      <c r="A402" s="9">
        <v>3.0000000000000001E-3</v>
      </c>
      <c r="B402" s="9">
        <f t="shared" si="7"/>
        <v>0.49880317495403359</v>
      </c>
    </row>
    <row r="403" spans="1:2" x14ac:dyDescent="0.25">
      <c r="A403" s="9">
        <v>4.0000000000000001E-3</v>
      </c>
      <c r="B403" s="9">
        <f t="shared" si="7"/>
        <v>0.4984042351337683</v>
      </c>
    </row>
    <row r="404" spans="1:2" x14ac:dyDescent="0.25">
      <c r="A404" s="9">
        <v>5.0000000000000001E-3</v>
      </c>
      <c r="B404" s="9">
        <f t="shared" si="7"/>
        <v>0.49800529690925921</v>
      </c>
    </row>
    <row r="405" spans="1:2" x14ac:dyDescent="0.25">
      <c r="A405" s="9">
        <v>6.0000000000000001E-3</v>
      </c>
      <c r="B405" s="9">
        <f t="shared" si="7"/>
        <v>0.49760636067943587</v>
      </c>
    </row>
    <row r="406" spans="1:2" x14ac:dyDescent="0.25">
      <c r="A406" s="9">
        <v>7.0000000000000001E-3</v>
      </c>
      <c r="B406" s="9">
        <f t="shared" si="7"/>
        <v>0.49720742684322272</v>
      </c>
    </row>
    <row r="407" spans="1:2" x14ac:dyDescent="0.25">
      <c r="A407" s="9">
        <v>8.0000000000000002E-3</v>
      </c>
      <c r="B407" s="9">
        <f t="shared" si="7"/>
        <v>0.49680849579953634</v>
      </c>
    </row>
    <row r="408" spans="1:2" x14ac:dyDescent="0.25">
      <c r="A408" s="9">
        <v>8.9999999999999993E-3</v>
      </c>
      <c r="B408" s="9">
        <f t="shared" si="7"/>
        <v>0.4964095679472853</v>
      </c>
    </row>
    <row r="409" spans="1:2" x14ac:dyDescent="0.25">
      <c r="A409" s="9">
        <v>9.9999999999997868E-3</v>
      </c>
      <c r="B409" s="9">
        <f>1-NORMSDIST(A409)</f>
        <v>0.4960106436853684</v>
      </c>
    </row>
    <row r="410" spans="1:2" x14ac:dyDescent="0.25">
      <c r="A410" s="9">
        <v>0.02</v>
      </c>
      <c r="B410" s="9">
        <f t="shared" ref="B410:B473" si="8">1-NORMSDIST(A410)</f>
        <v>0.49202168628309795</v>
      </c>
    </row>
    <row r="411" spans="1:2" x14ac:dyDescent="0.25">
      <c r="A411" s="9">
        <v>2.9999999999999805E-2</v>
      </c>
      <c r="B411" s="9">
        <f t="shared" si="8"/>
        <v>0.4880335265858875</v>
      </c>
    </row>
    <row r="412" spans="1:2" x14ac:dyDescent="0.25">
      <c r="A412" s="9">
        <v>0.04</v>
      </c>
      <c r="B412" s="9">
        <f t="shared" si="8"/>
        <v>0.48404656314716932</v>
      </c>
    </row>
    <row r="413" spans="1:2" x14ac:dyDescent="0.25">
      <c r="A413" s="9">
        <v>4.9999999999999822E-2</v>
      </c>
      <c r="B413" s="9">
        <f t="shared" si="8"/>
        <v>0.48006119416162762</v>
      </c>
    </row>
    <row r="414" spans="1:2" x14ac:dyDescent="0.25">
      <c r="A414" s="9">
        <v>6.0000000000000053E-2</v>
      </c>
      <c r="B414" s="9">
        <f t="shared" si="8"/>
        <v>0.47607781734589305</v>
      </c>
    </row>
    <row r="415" spans="1:2" x14ac:dyDescent="0.25">
      <c r="A415" s="9">
        <v>6.999999999999984E-2</v>
      </c>
      <c r="B415" s="9">
        <f t="shared" si="8"/>
        <v>0.47209682981947898</v>
      </c>
    </row>
    <row r="416" spans="1:2" x14ac:dyDescent="0.25">
      <c r="A416" s="9">
        <v>8.0000000000000071E-2</v>
      </c>
      <c r="B416" s="9">
        <f t="shared" si="8"/>
        <v>0.46811862798601256</v>
      </c>
    </row>
    <row r="417" spans="1:2" x14ac:dyDescent="0.25">
      <c r="A417" s="9">
        <v>8.9999999999999858E-2</v>
      </c>
      <c r="B417" s="9">
        <f t="shared" si="8"/>
        <v>0.46414360741482796</v>
      </c>
    </row>
    <row r="418" spans="1:2" x14ac:dyDescent="0.25">
      <c r="A418" s="9">
        <v>0.1</v>
      </c>
      <c r="B418" s="9">
        <f t="shared" si="8"/>
        <v>0.46017216272297101</v>
      </c>
    </row>
    <row r="419" spans="1:2" x14ac:dyDescent="0.25">
      <c r="A419" s="9">
        <v>0.11</v>
      </c>
      <c r="B419" s="9">
        <f t="shared" si="8"/>
        <v>0.45620468745768328</v>
      </c>
    </row>
    <row r="420" spans="1:2" x14ac:dyDescent="0.25">
      <c r="A420" s="9">
        <v>0.12</v>
      </c>
      <c r="B420" s="9">
        <f t="shared" si="8"/>
        <v>0.45224157397941611</v>
      </c>
    </row>
    <row r="421" spans="1:2" x14ac:dyDescent="0.25">
      <c r="A421" s="9">
        <v>0.13</v>
      </c>
      <c r="B421" s="9">
        <f t="shared" si="8"/>
        <v>0.44828321334543886</v>
      </c>
    </row>
    <row r="422" spans="1:2" x14ac:dyDescent="0.25">
      <c r="A422" s="9">
        <v>0.14000000000000001</v>
      </c>
      <c r="B422" s="9">
        <f t="shared" si="8"/>
        <v>0.44432999519409355</v>
      </c>
    </row>
    <row r="423" spans="1:2" x14ac:dyDescent="0.25">
      <c r="A423" s="9">
        <v>0.15</v>
      </c>
      <c r="B423" s="9">
        <f t="shared" si="8"/>
        <v>0.4403823076297575</v>
      </c>
    </row>
    <row r="424" spans="1:2" x14ac:dyDescent="0.25">
      <c r="A424" s="9">
        <v>0.16</v>
      </c>
      <c r="B424" s="9">
        <f t="shared" si="8"/>
        <v>0.43644053710856712</v>
      </c>
    </row>
    <row r="425" spans="1:2" x14ac:dyDescent="0.25">
      <c r="A425" s="9">
        <v>0.17</v>
      </c>
      <c r="B425" s="9">
        <f t="shared" si="8"/>
        <v>0.43250506832496161</v>
      </c>
    </row>
    <row r="426" spans="1:2" x14ac:dyDescent="0.25">
      <c r="A426" s="9">
        <v>0.18</v>
      </c>
      <c r="B426" s="9">
        <f t="shared" si="8"/>
        <v>0.4285762840990992</v>
      </c>
    </row>
    <row r="427" spans="1:2" x14ac:dyDescent="0.25">
      <c r="A427" s="9">
        <v>0.19</v>
      </c>
      <c r="B427" s="9">
        <f t="shared" si="8"/>
        <v>0.42465456526520451</v>
      </c>
    </row>
    <row r="428" spans="1:2" x14ac:dyDescent="0.25">
      <c r="A428" s="9">
        <v>0.2</v>
      </c>
      <c r="B428" s="9">
        <f t="shared" si="8"/>
        <v>0.42074029056089701</v>
      </c>
    </row>
    <row r="429" spans="1:2" x14ac:dyDescent="0.25">
      <c r="A429" s="9">
        <v>0.21</v>
      </c>
      <c r="B429" s="9">
        <f t="shared" si="8"/>
        <v>0.41683383651755768</v>
      </c>
    </row>
    <row r="430" spans="1:2" x14ac:dyDescent="0.25">
      <c r="A430" s="9">
        <v>0.22</v>
      </c>
      <c r="B430" s="9">
        <f t="shared" si="8"/>
        <v>0.41293557735178532</v>
      </c>
    </row>
    <row r="431" spans="1:2" x14ac:dyDescent="0.25">
      <c r="A431" s="9">
        <v>0.23</v>
      </c>
      <c r="B431" s="9">
        <f t="shared" si="8"/>
        <v>0.40904588485799409</v>
      </c>
    </row>
    <row r="432" spans="1:2" x14ac:dyDescent="0.25">
      <c r="A432" s="9">
        <v>0.24</v>
      </c>
      <c r="B432" s="9">
        <f t="shared" si="8"/>
        <v>0.40516512830220419</v>
      </c>
    </row>
    <row r="433" spans="1:2" x14ac:dyDescent="0.25">
      <c r="A433" s="9">
        <v>0.25</v>
      </c>
      <c r="B433" s="9">
        <f t="shared" si="8"/>
        <v>0.4012936743170763</v>
      </c>
    </row>
    <row r="434" spans="1:2" x14ac:dyDescent="0.25">
      <c r="A434" s="9">
        <v>0.26</v>
      </c>
      <c r="B434" s="9">
        <f t="shared" si="8"/>
        <v>0.39743188679823949</v>
      </c>
    </row>
    <row r="435" spans="1:2" x14ac:dyDescent="0.25">
      <c r="A435" s="9">
        <v>0.27</v>
      </c>
      <c r="B435" s="9">
        <f t="shared" si="8"/>
        <v>0.39358012680196053</v>
      </c>
    </row>
    <row r="436" spans="1:2" x14ac:dyDescent="0.25">
      <c r="A436" s="9">
        <v>0.28000000000000003</v>
      </c>
      <c r="B436" s="9">
        <f t="shared" si="8"/>
        <v>0.38973875244420275</v>
      </c>
    </row>
    <row r="437" spans="1:2" x14ac:dyDescent="0.25">
      <c r="A437" s="9">
        <v>0.28999999999999998</v>
      </c>
      <c r="B437" s="9">
        <f t="shared" si="8"/>
        <v>0.38590811880112263</v>
      </c>
    </row>
    <row r="438" spans="1:2" x14ac:dyDescent="0.25">
      <c r="A438" s="9">
        <v>0.3</v>
      </c>
      <c r="B438" s="9">
        <f t="shared" si="8"/>
        <v>0.38208857781104733</v>
      </c>
    </row>
    <row r="439" spans="1:2" x14ac:dyDescent="0.25">
      <c r="A439" s="9">
        <v>0.31</v>
      </c>
      <c r="B439" s="9">
        <f t="shared" si="8"/>
        <v>0.37828047817798072</v>
      </c>
    </row>
    <row r="440" spans="1:2" x14ac:dyDescent="0.25">
      <c r="A440" s="9">
        <v>0.32</v>
      </c>
      <c r="B440" s="9">
        <f t="shared" si="8"/>
        <v>0.37448416527667994</v>
      </c>
    </row>
    <row r="441" spans="1:2" x14ac:dyDescent="0.25">
      <c r="A441" s="9">
        <v>0.33</v>
      </c>
      <c r="B441" s="9">
        <f t="shared" si="8"/>
        <v>0.37069998105934643</v>
      </c>
    </row>
    <row r="442" spans="1:2" x14ac:dyDescent="0.25">
      <c r="A442" s="9">
        <v>0.34</v>
      </c>
      <c r="B442" s="9">
        <f t="shared" si="8"/>
        <v>0.36692826396397193</v>
      </c>
    </row>
    <row r="443" spans="1:2" x14ac:dyDescent="0.25">
      <c r="A443" s="9">
        <v>0.35</v>
      </c>
      <c r="B443" s="9">
        <f t="shared" si="8"/>
        <v>0.3631693488243809</v>
      </c>
    </row>
    <row r="444" spans="1:2" x14ac:dyDescent="0.25">
      <c r="A444" s="9">
        <v>0.36</v>
      </c>
      <c r="B444" s="9">
        <f t="shared" si="8"/>
        <v>0.35942356678200871</v>
      </c>
    </row>
    <row r="445" spans="1:2" x14ac:dyDescent="0.25">
      <c r="A445" s="9">
        <v>0.37</v>
      </c>
      <c r="B445" s="9">
        <f t="shared" si="8"/>
        <v>0.35569124519945317</v>
      </c>
    </row>
    <row r="446" spans="1:2" x14ac:dyDescent="0.25">
      <c r="A446" s="9">
        <v>0.38</v>
      </c>
      <c r="B446" s="9">
        <f t="shared" si="8"/>
        <v>0.35197270757583721</v>
      </c>
    </row>
    <row r="447" spans="1:2" x14ac:dyDescent="0.25">
      <c r="A447" s="9">
        <v>0.39</v>
      </c>
      <c r="B447" s="9">
        <f t="shared" si="8"/>
        <v>0.34826827346401756</v>
      </c>
    </row>
    <row r="448" spans="1:2" x14ac:dyDescent="0.25">
      <c r="A448" s="9">
        <v>0.4</v>
      </c>
      <c r="B448" s="9">
        <f t="shared" si="8"/>
        <v>0.34457825838967571</v>
      </c>
    </row>
    <row r="449" spans="1:2" x14ac:dyDescent="0.25">
      <c r="A449" s="9">
        <v>0.41</v>
      </c>
      <c r="B449" s="9">
        <f t="shared" si="8"/>
        <v>0.34090297377232259</v>
      </c>
    </row>
    <row r="450" spans="1:2" x14ac:dyDescent="0.25">
      <c r="A450" s="9">
        <v>0.42</v>
      </c>
      <c r="B450" s="9">
        <f t="shared" si="8"/>
        <v>0.33724272684824952</v>
      </c>
    </row>
    <row r="451" spans="1:2" x14ac:dyDescent="0.25">
      <c r="A451" s="9">
        <v>0.43</v>
      </c>
      <c r="B451" s="9">
        <f t="shared" si="8"/>
        <v>0.33359782059545762</v>
      </c>
    </row>
    <row r="452" spans="1:2" x14ac:dyDescent="0.25">
      <c r="A452" s="9">
        <v>0.44</v>
      </c>
      <c r="B452" s="9">
        <f t="shared" si="8"/>
        <v>0.32996855366059363</v>
      </c>
    </row>
    <row r="453" spans="1:2" x14ac:dyDescent="0.25">
      <c r="A453" s="9">
        <v>0.45</v>
      </c>
      <c r="B453" s="9">
        <f t="shared" si="8"/>
        <v>0.32635522028791997</v>
      </c>
    </row>
    <row r="454" spans="1:2" x14ac:dyDescent="0.25">
      <c r="A454" s="9">
        <v>0.46</v>
      </c>
      <c r="B454" s="9">
        <f t="shared" si="8"/>
        <v>0.32275811025034773</v>
      </c>
    </row>
    <row r="455" spans="1:2" x14ac:dyDescent="0.25">
      <c r="A455" s="9">
        <v>0.47</v>
      </c>
      <c r="B455" s="9">
        <f t="shared" si="8"/>
        <v>0.3191775087825558</v>
      </c>
    </row>
    <row r="456" spans="1:2" x14ac:dyDescent="0.25">
      <c r="A456" s="9">
        <v>0.48</v>
      </c>
      <c r="B456" s="9">
        <f t="shared" si="8"/>
        <v>0.31561369651622262</v>
      </c>
    </row>
    <row r="457" spans="1:2" x14ac:dyDescent="0.25">
      <c r="A457" s="9">
        <v>0.49</v>
      </c>
      <c r="B457" s="9">
        <f t="shared" si="8"/>
        <v>0.31206694941739055</v>
      </c>
    </row>
    <row r="458" spans="1:2" x14ac:dyDescent="0.25">
      <c r="A458" s="9">
        <v>0.5</v>
      </c>
      <c r="B458" s="9">
        <f t="shared" si="8"/>
        <v>0.30853753872598688</v>
      </c>
    </row>
    <row r="459" spans="1:2" x14ac:dyDescent="0.25">
      <c r="A459" s="9">
        <v>0.51</v>
      </c>
      <c r="B459" s="9">
        <f t="shared" si="8"/>
        <v>0.30502573089751939</v>
      </c>
    </row>
    <row r="460" spans="1:2" x14ac:dyDescent="0.25">
      <c r="A460" s="9">
        <v>0.52</v>
      </c>
      <c r="B460" s="9">
        <f t="shared" si="8"/>
        <v>0.30153178754696619</v>
      </c>
    </row>
    <row r="461" spans="1:2" x14ac:dyDescent="0.25">
      <c r="A461" s="9">
        <v>0.53</v>
      </c>
      <c r="B461" s="9">
        <f t="shared" si="8"/>
        <v>0.29805596539487644</v>
      </c>
    </row>
    <row r="462" spans="1:2" x14ac:dyDescent="0.25">
      <c r="A462" s="9">
        <v>0.54</v>
      </c>
      <c r="B462" s="9">
        <f t="shared" si="8"/>
        <v>0.29459851621569799</v>
      </c>
    </row>
    <row r="463" spans="1:2" x14ac:dyDescent="0.25">
      <c r="A463" s="9">
        <v>0.55000000000000004</v>
      </c>
      <c r="B463" s="9">
        <f t="shared" si="8"/>
        <v>0.29115968678834636</v>
      </c>
    </row>
    <row r="464" spans="1:2" x14ac:dyDescent="0.25">
      <c r="A464" s="9">
        <v>0.56000000000000005</v>
      </c>
      <c r="B464" s="9">
        <f t="shared" si="8"/>
        <v>0.28773971884902705</v>
      </c>
    </row>
    <row r="465" spans="1:2" x14ac:dyDescent="0.25">
      <c r="A465" s="9">
        <v>0.56999999999999995</v>
      </c>
      <c r="B465" s="9">
        <f t="shared" si="8"/>
        <v>0.28433884904632412</v>
      </c>
    </row>
    <row r="466" spans="1:2" x14ac:dyDescent="0.25">
      <c r="A466" s="9">
        <v>0.57999999999999996</v>
      </c>
      <c r="B466" s="9">
        <f t="shared" si="8"/>
        <v>0.2809573088985643</v>
      </c>
    </row>
    <row r="467" spans="1:2" x14ac:dyDescent="0.25">
      <c r="A467" s="9">
        <v>0.59</v>
      </c>
      <c r="B467" s="9">
        <f t="shared" si="8"/>
        <v>0.27759532475346493</v>
      </c>
    </row>
    <row r="468" spans="1:2" x14ac:dyDescent="0.25">
      <c r="A468" s="9">
        <v>0.6</v>
      </c>
      <c r="B468" s="9">
        <f t="shared" si="8"/>
        <v>0.27425311775007355</v>
      </c>
    </row>
    <row r="469" spans="1:2" x14ac:dyDescent="0.25">
      <c r="A469" s="9">
        <v>0.61</v>
      </c>
      <c r="B469" s="9">
        <f t="shared" si="8"/>
        <v>0.27093090378300566</v>
      </c>
    </row>
    <row r="470" spans="1:2" x14ac:dyDescent="0.25">
      <c r="A470" s="9">
        <v>0.62</v>
      </c>
      <c r="B470" s="9">
        <f t="shared" si="8"/>
        <v>0.267628893468983</v>
      </c>
    </row>
    <row r="471" spans="1:2" x14ac:dyDescent="0.25">
      <c r="A471" s="9">
        <v>0.63</v>
      </c>
      <c r="B471" s="9">
        <f t="shared" si="8"/>
        <v>0.26434729211567753</v>
      </c>
    </row>
    <row r="472" spans="1:2" x14ac:dyDescent="0.25">
      <c r="A472" s="9">
        <v>0.64</v>
      </c>
      <c r="B472" s="9">
        <f t="shared" si="8"/>
        <v>0.26108629969286157</v>
      </c>
    </row>
    <row r="473" spans="1:2" x14ac:dyDescent="0.25">
      <c r="A473" s="9">
        <v>0.65</v>
      </c>
      <c r="B473" s="9">
        <f t="shared" si="8"/>
        <v>0.25784611080586473</v>
      </c>
    </row>
    <row r="474" spans="1:2" x14ac:dyDescent="0.25">
      <c r="A474" s="9">
        <v>0.66</v>
      </c>
      <c r="B474" s="9">
        <f t="shared" ref="B474:B537" si="9">1-NORMSDIST(A474)</f>
        <v>0.25462691467133602</v>
      </c>
    </row>
    <row r="475" spans="1:2" x14ac:dyDescent="0.25">
      <c r="A475" s="9">
        <v>0.67</v>
      </c>
      <c r="B475" s="9">
        <f t="shared" si="9"/>
        <v>0.25142889509531008</v>
      </c>
    </row>
    <row r="476" spans="1:2" x14ac:dyDescent="0.25">
      <c r="A476" s="9">
        <v>0.68</v>
      </c>
      <c r="B476" s="9">
        <f t="shared" si="9"/>
        <v>0.24825223045357048</v>
      </c>
    </row>
    <row r="477" spans="1:2" x14ac:dyDescent="0.25">
      <c r="A477" s="9">
        <v>0.69</v>
      </c>
      <c r="B477" s="9">
        <f t="shared" si="9"/>
        <v>0.24509709367430943</v>
      </c>
    </row>
    <row r="478" spans="1:2" x14ac:dyDescent="0.25">
      <c r="A478" s="9">
        <v>0.7</v>
      </c>
      <c r="B478" s="9">
        <f t="shared" si="9"/>
        <v>0.24196365222307303</v>
      </c>
    </row>
    <row r="479" spans="1:2" x14ac:dyDescent="0.25">
      <c r="A479" s="9">
        <v>0.71</v>
      </c>
      <c r="B479" s="9">
        <f t="shared" si="9"/>
        <v>0.23885206808998671</v>
      </c>
    </row>
    <row r="480" spans="1:2" x14ac:dyDescent="0.25">
      <c r="A480" s="9">
        <v>0.72</v>
      </c>
      <c r="B480" s="9">
        <f t="shared" si="9"/>
        <v>0.23576249777925118</v>
      </c>
    </row>
    <row r="481" spans="1:2" x14ac:dyDescent="0.25">
      <c r="A481" s="9">
        <v>0.73</v>
      </c>
      <c r="B481" s="9">
        <f t="shared" si="9"/>
        <v>0.23269509230089747</v>
      </c>
    </row>
    <row r="482" spans="1:2" x14ac:dyDescent="0.25">
      <c r="A482" s="9">
        <v>0.74</v>
      </c>
      <c r="B482" s="9">
        <f t="shared" si="9"/>
        <v>0.22964999716479062</v>
      </c>
    </row>
    <row r="483" spans="1:2" x14ac:dyDescent="0.25">
      <c r="A483" s="9">
        <v>0.75</v>
      </c>
      <c r="B483" s="9">
        <f t="shared" si="9"/>
        <v>0.22662735237686826</v>
      </c>
    </row>
    <row r="484" spans="1:2" x14ac:dyDescent="0.25">
      <c r="A484" s="9">
        <v>0.76</v>
      </c>
      <c r="B484" s="9">
        <f t="shared" si="9"/>
        <v>0.22362729243759938</v>
      </c>
    </row>
    <row r="485" spans="1:2" x14ac:dyDescent="0.25">
      <c r="A485" s="9">
        <v>0.77</v>
      </c>
      <c r="B485" s="9">
        <f t="shared" si="9"/>
        <v>0.22064994634264956</v>
      </c>
    </row>
    <row r="486" spans="1:2" x14ac:dyDescent="0.25">
      <c r="A486" s="9">
        <v>0.78</v>
      </c>
      <c r="B486" s="9">
        <f t="shared" si="9"/>
        <v>0.21769543758573306</v>
      </c>
    </row>
    <row r="487" spans="1:2" x14ac:dyDescent="0.25">
      <c r="A487" s="9">
        <v>0.79</v>
      </c>
      <c r="B487" s="9">
        <f t="shared" si="9"/>
        <v>0.21476388416363712</v>
      </c>
    </row>
    <row r="488" spans="1:2" x14ac:dyDescent="0.25">
      <c r="A488" s="9">
        <v>0.8</v>
      </c>
      <c r="B488" s="9">
        <f t="shared" si="9"/>
        <v>0.21185539858339664</v>
      </c>
    </row>
    <row r="489" spans="1:2" x14ac:dyDescent="0.25">
      <c r="A489" s="9">
        <v>0.81</v>
      </c>
      <c r="B489" s="9">
        <f t="shared" si="9"/>
        <v>0.20897008787160165</v>
      </c>
    </row>
    <row r="490" spans="1:2" x14ac:dyDescent="0.25">
      <c r="A490" s="9">
        <v>0.82</v>
      </c>
      <c r="B490" s="9">
        <f t="shared" si="9"/>
        <v>0.20610805358581308</v>
      </c>
    </row>
    <row r="491" spans="1:2" x14ac:dyDescent="0.25">
      <c r="A491" s="9">
        <v>0.83</v>
      </c>
      <c r="B491" s="9">
        <f t="shared" si="9"/>
        <v>0.20326939182806847</v>
      </c>
    </row>
    <row r="492" spans="1:2" x14ac:dyDescent="0.25">
      <c r="A492" s="9">
        <v>0.84</v>
      </c>
      <c r="B492" s="9">
        <f t="shared" si="9"/>
        <v>0.20045419326044966</v>
      </c>
    </row>
    <row r="493" spans="1:2" x14ac:dyDescent="0.25">
      <c r="A493" s="9">
        <v>0.85</v>
      </c>
      <c r="B493" s="9">
        <f t="shared" si="9"/>
        <v>0.19766254312269238</v>
      </c>
    </row>
    <row r="494" spans="1:2" x14ac:dyDescent="0.25">
      <c r="A494" s="9">
        <v>0.86</v>
      </c>
      <c r="B494" s="9">
        <f t="shared" si="9"/>
        <v>0.19489452125180828</v>
      </c>
    </row>
    <row r="495" spans="1:2" x14ac:dyDescent="0.25">
      <c r="A495" s="9">
        <v>0.87</v>
      </c>
      <c r="B495" s="9">
        <f t="shared" si="9"/>
        <v>0.19215020210369627</v>
      </c>
    </row>
    <row r="496" spans="1:2" x14ac:dyDescent="0.25">
      <c r="A496" s="9">
        <v>0.88</v>
      </c>
      <c r="B496" s="9">
        <f t="shared" si="9"/>
        <v>0.18942965477671214</v>
      </c>
    </row>
    <row r="497" spans="1:2" x14ac:dyDescent="0.25">
      <c r="A497" s="9">
        <v>0.89</v>
      </c>
      <c r="B497" s="9">
        <f t="shared" si="9"/>
        <v>0.18673294303717258</v>
      </c>
    </row>
    <row r="498" spans="1:2" x14ac:dyDescent="0.25">
      <c r="A498" s="9">
        <v>0.9</v>
      </c>
      <c r="B498" s="9">
        <f t="shared" si="9"/>
        <v>0.18406012534675953</v>
      </c>
    </row>
    <row r="499" spans="1:2" x14ac:dyDescent="0.25">
      <c r="A499" s="9">
        <v>0.91</v>
      </c>
      <c r="B499" s="9">
        <f t="shared" si="9"/>
        <v>0.18141125489179721</v>
      </c>
    </row>
    <row r="500" spans="1:2" x14ac:dyDescent="0.25">
      <c r="A500" s="9">
        <v>0.92</v>
      </c>
      <c r="B500" s="9">
        <f t="shared" si="9"/>
        <v>0.17878637961437172</v>
      </c>
    </row>
    <row r="501" spans="1:2" x14ac:dyDescent="0.25">
      <c r="A501" s="9">
        <v>0.93</v>
      </c>
      <c r="B501" s="9">
        <f t="shared" si="9"/>
        <v>0.17618554224525784</v>
      </c>
    </row>
    <row r="502" spans="1:2" x14ac:dyDescent="0.25">
      <c r="A502" s="9">
        <v>0.94</v>
      </c>
      <c r="B502" s="9">
        <f t="shared" si="9"/>
        <v>0.17360878033862459</v>
      </c>
    </row>
    <row r="503" spans="1:2" x14ac:dyDescent="0.25">
      <c r="A503" s="9">
        <v>0.95</v>
      </c>
      <c r="B503" s="9">
        <f t="shared" si="9"/>
        <v>0.17105612630848188</v>
      </c>
    </row>
    <row r="504" spans="1:2" x14ac:dyDescent="0.25">
      <c r="A504" s="9">
        <v>0.96</v>
      </c>
      <c r="B504" s="9">
        <f t="shared" si="9"/>
        <v>0.16852760746683781</v>
      </c>
    </row>
    <row r="505" spans="1:2" x14ac:dyDescent="0.25">
      <c r="A505" s="9">
        <v>0.97</v>
      </c>
      <c r="B505" s="9">
        <f t="shared" si="9"/>
        <v>0.16602324606352958</v>
      </c>
    </row>
    <row r="506" spans="1:2" x14ac:dyDescent="0.25">
      <c r="A506" s="9">
        <v>0.98</v>
      </c>
      <c r="B506" s="9">
        <f t="shared" si="9"/>
        <v>0.16354305932769231</v>
      </c>
    </row>
    <row r="507" spans="1:2" x14ac:dyDescent="0.25">
      <c r="A507" s="9">
        <v>0.99</v>
      </c>
      <c r="B507" s="9">
        <f t="shared" si="9"/>
        <v>0.16108705951083091</v>
      </c>
    </row>
    <row r="508" spans="1:2" x14ac:dyDescent="0.25">
      <c r="A508" s="9">
        <v>1</v>
      </c>
      <c r="B508" s="9">
        <f t="shared" si="9"/>
        <v>0.15865525393145696</v>
      </c>
    </row>
    <row r="509" spans="1:2" x14ac:dyDescent="0.25">
      <c r="A509" s="9">
        <v>1.01</v>
      </c>
      <c r="B509" s="9">
        <f t="shared" si="9"/>
        <v>0.15624764502125454</v>
      </c>
    </row>
    <row r="510" spans="1:2" x14ac:dyDescent="0.25">
      <c r="A510" s="9">
        <v>1.02</v>
      </c>
      <c r="B510" s="9">
        <f t="shared" si="9"/>
        <v>0.15386423037273489</v>
      </c>
    </row>
    <row r="511" spans="1:2" x14ac:dyDescent="0.25">
      <c r="A511" s="9">
        <v>1.03</v>
      </c>
      <c r="B511" s="9">
        <f t="shared" si="9"/>
        <v>0.15150500278834367</v>
      </c>
    </row>
    <row r="512" spans="1:2" x14ac:dyDescent="0.25">
      <c r="A512" s="9">
        <v>1.04</v>
      </c>
      <c r="B512" s="9">
        <f t="shared" si="9"/>
        <v>0.14916995033098135</v>
      </c>
    </row>
    <row r="513" spans="1:2" x14ac:dyDescent="0.25">
      <c r="A513" s="9">
        <v>1.05</v>
      </c>
      <c r="B513" s="9">
        <f t="shared" si="9"/>
        <v>0.14685905637589591</v>
      </c>
    </row>
    <row r="514" spans="1:2" x14ac:dyDescent="0.25">
      <c r="A514" s="9">
        <v>1.06</v>
      </c>
      <c r="B514" s="9">
        <f t="shared" si="9"/>
        <v>0.14457229966390961</v>
      </c>
    </row>
    <row r="515" spans="1:2" x14ac:dyDescent="0.25">
      <c r="A515" s="9">
        <v>1.07</v>
      </c>
      <c r="B515" s="9">
        <f t="shared" si="9"/>
        <v>0.14230965435593923</v>
      </c>
    </row>
    <row r="516" spans="1:2" x14ac:dyDescent="0.25">
      <c r="A516" s="9">
        <v>1.08</v>
      </c>
      <c r="B516" s="9">
        <f t="shared" si="9"/>
        <v>0.14007109008876906</v>
      </c>
    </row>
    <row r="517" spans="1:2" x14ac:dyDescent="0.25">
      <c r="A517" s="9">
        <v>1.0900000000000001</v>
      </c>
      <c r="B517" s="9">
        <f t="shared" si="9"/>
        <v>0.1378565720320355</v>
      </c>
    </row>
    <row r="518" spans="1:2" x14ac:dyDescent="0.25">
      <c r="A518" s="9">
        <v>1.1000000000000001</v>
      </c>
      <c r="B518" s="9">
        <f t="shared" si="9"/>
        <v>0.13566606094638267</v>
      </c>
    </row>
    <row r="519" spans="1:2" x14ac:dyDescent="0.25">
      <c r="A519" s="9">
        <v>1.1100000000000001</v>
      </c>
      <c r="B519" s="9">
        <f t="shared" si="9"/>
        <v>0.13349951324274723</v>
      </c>
    </row>
    <row r="520" spans="1:2" x14ac:dyDescent="0.25">
      <c r="A520" s="9">
        <v>1.1200000000000001</v>
      </c>
      <c r="B520" s="9">
        <f t="shared" si="9"/>
        <v>0.13135688104273069</v>
      </c>
    </row>
    <row r="521" spans="1:2" x14ac:dyDescent="0.25">
      <c r="A521" s="9">
        <v>1.1299999999999999</v>
      </c>
      <c r="B521" s="9">
        <f t="shared" si="9"/>
        <v>0.1292381122400178</v>
      </c>
    </row>
    <row r="522" spans="1:2" x14ac:dyDescent="0.25">
      <c r="A522" s="9">
        <v>1.1399999999999999</v>
      </c>
      <c r="B522" s="9">
        <f t="shared" si="9"/>
        <v>0.12714315056279824</v>
      </c>
    </row>
    <row r="523" spans="1:2" x14ac:dyDescent="0.25">
      <c r="A523" s="9">
        <v>1.1499999999999999</v>
      </c>
      <c r="B523" s="9">
        <f t="shared" si="9"/>
        <v>0.12507193563715024</v>
      </c>
    </row>
    <row r="524" spans="1:2" x14ac:dyDescent="0.25">
      <c r="A524" s="9">
        <v>1.1599999999999999</v>
      </c>
      <c r="B524" s="9">
        <f t="shared" si="9"/>
        <v>0.12302440305134343</v>
      </c>
    </row>
    <row r="525" spans="1:2" x14ac:dyDescent="0.25">
      <c r="A525" s="9">
        <v>1.17</v>
      </c>
      <c r="B525" s="9">
        <f t="shared" si="9"/>
        <v>0.12100048442101818</v>
      </c>
    </row>
    <row r="526" spans="1:2" x14ac:dyDescent="0.25">
      <c r="A526" s="9">
        <v>1.18</v>
      </c>
      <c r="B526" s="9">
        <f t="shared" si="9"/>
        <v>0.11900010745520073</v>
      </c>
    </row>
    <row r="527" spans="1:2" x14ac:dyDescent="0.25">
      <c r="A527" s="9">
        <v>1.19</v>
      </c>
      <c r="B527" s="9">
        <f t="shared" si="9"/>
        <v>0.11702319602310862</v>
      </c>
    </row>
    <row r="528" spans="1:2" x14ac:dyDescent="0.25">
      <c r="A528" s="9">
        <v>1.2</v>
      </c>
      <c r="B528" s="9">
        <f t="shared" si="9"/>
        <v>0.11506967022170822</v>
      </c>
    </row>
    <row r="529" spans="1:2" x14ac:dyDescent="0.25">
      <c r="A529" s="9">
        <v>1.21</v>
      </c>
      <c r="B529" s="9">
        <f t="shared" si="9"/>
        <v>0.11313944644397722</v>
      </c>
    </row>
    <row r="530" spans="1:2" x14ac:dyDescent="0.25">
      <c r="A530" s="9">
        <v>1.22</v>
      </c>
      <c r="B530" s="9">
        <f t="shared" si="9"/>
        <v>0.11123243744783462</v>
      </c>
    </row>
    <row r="531" spans="1:2" x14ac:dyDescent="0.25">
      <c r="A531" s="9">
        <v>1.23</v>
      </c>
      <c r="B531" s="9">
        <f t="shared" si="9"/>
        <v>0.10934855242569186</v>
      </c>
    </row>
    <row r="532" spans="1:2" x14ac:dyDescent="0.25">
      <c r="A532" s="9">
        <v>1.24</v>
      </c>
      <c r="B532" s="9">
        <f t="shared" si="9"/>
        <v>0.10748769707458694</v>
      </c>
    </row>
    <row r="533" spans="1:2" x14ac:dyDescent="0.25">
      <c r="A533" s="9">
        <v>1.25</v>
      </c>
      <c r="B533" s="9">
        <f t="shared" si="9"/>
        <v>0.10564977366685524</v>
      </c>
    </row>
    <row r="534" spans="1:2" x14ac:dyDescent="0.25">
      <c r="A534" s="9">
        <v>1.26</v>
      </c>
      <c r="B534" s="9">
        <f t="shared" si="9"/>
        <v>0.10383468112130034</v>
      </c>
    </row>
    <row r="535" spans="1:2" x14ac:dyDescent="0.25">
      <c r="A535" s="9">
        <v>1.27</v>
      </c>
      <c r="B535" s="9">
        <f t="shared" si="9"/>
        <v>0.10204231507481909</v>
      </c>
    </row>
    <row r="536" spans="1:2" x14ac:dyDescent="0.25">
      <c r="A536" s="9">
        <v>1.28</v>
      </c>
      <c r="B536" s="9">
        <f t="shared" si="9"/>
        <v>0.10027256795444206</v>
      </c>
    </row>
    <row r="537" spans="1:2" x14ac:dyDescent="0.25">
      <c r="A537" s="9">
        <v>1.29</v>
      </c>
      <c r="B537" s="9">
        <f t="shared" si="9"/>
        <v>9.8525329049747867E-2</v>
      </c>
    </row>
    <row r="538" spans="1:2" x14ac:dyDescent="0.25">
      <c r="A538" s="9">
        <v>1.3</v>
      </c>
      <c r="B538" s="9">
        <f t="shared" ref="B538:B601" si="10">1-NORMSDIST(A538)</f>
        <v>9.6800484585610302E-2</v>
      </c>
    </row>
    <row r="539" spans="1:2" x14ac:dyDescent="0.25">
      <c r="A539" s="9">
        <v>1.31</v>
      </c>
      <c r="B539" s="9">
        <f t="shared" si="10"/>
        <v>9.5097917795239018E-2</v>
      </c>
    </row>
    <row r="540" spans="1:2" x14ac:dyDescent="0.25">
      <c r="A540" s="9">
        <v>1.32</v>
      </c>
      <c r="B540" s="9">
        <f t="shared" si="10"/>
        <v>9.3417508993471787E-2</v>
      </c>
    </row>
    <row r="541" spans="1:2" x14ac:dyDescent="0.25">
      <c r="A541" s="9">
        <v>1.33</v>
      </c>
      <c r="B541" s="9">
        <f t="shared" si="10"/>
        <v>9.1759135650280821E-2</v>
      </c>
    </row>
    <row r="542" spans="1:2" x14ac:dyDescent="0.25">
      <c r="A542" s="9">
        <v>1.34</v>
      </c>
      <c r="B542" s="9">
        <f t="shared" si="10"/>
        <v>9.0122672464452491E-2</v>
      </c>
    </row>
    <row r="543" spans="1:2" x14ac:dyDescent="0.25">
      <c r="A543" s="9">
        <v>1.35</v>
      </c>
      <c r="B543" s="9">
        <f t="shared" si="10"/>
        <v>8.8507991437401956E-2</v>
      </c>
    </row>
    <row r="544" spans="1:2" x14ac:dyDescent="0.25">
      <c r="A544" s="9">
        <v>1.36</v>
      </c>
      <c r="B544" s="9">
        <f t="shared" si="10"/>
        <v>8.6914961947085034E-2</v>
      </c>
    </row>
    <row r="545" spans="1:2" x14ac:dyDescent="0.25">
      <c r="A545" s="9">
        <v>1.37</v>
      </c>
      <c r="B545" s="9">
        <f t="shared" si="10"/>
        <v>8.5343450821966926E-2</v>
      </c>
    </row>
    <row r="546" spans="1:2" x14ac:dyDescent="0.25">
      <c r="A546" s="9">
        <v>1.38</v>
      </c>
      <c r="B546" s="9">
        <f t="shared" si="10"/>
        <v>8.3793322415014249E-2</v>
      </c>
    </row>
    <row r="547" spans="1:2" x14ac:dyDescent="0.25">
      <c r="A547" s="9">
        <v>1.39</v>
      </c>
      <c r="B547" s="9">
        <f t="shared" si="10"/>
        <v>8.2264438677668972E-2</v>
      </c>
    </row>
    <row r="548" spans="1:2" x14ac:dyDescent="0.25">
      <c r="A548" s="9">
        <v>1.4</v>
      </c>
      <c r="B548" s="9">
        <f t="shared" si="10"/>
        <v>8.0756659233771066E-2</v>
      </c>
    </row>
    <row r="549" spans="1:2" x14ac:dyDescent="0.25">
      <c r="A549" s="9">
        <v>1.41</v>
      </c>
      <c r="B549" s="9">
        <f t="shared" si="10"/>
        <v>7.9269841453392442E-2</v>
      </c>
    </row>
    <row r="550" spans="1:2" x14ac:dyDescent="0.25">
      <c r="A550" s="9">
        <v>1.42</v>
      </c>
      <c r="B550" s="9">
        <f t="shared" si="10"/>
        <v>7.780384052654632E-2</v>
      </c>
    </row>
    <row r="551" spans="1:2" x14ac:dyDescent="0.25">
      <c r="A551" s="9">
        <v>1.43</v>
      </c>
      <c r="B551" s="9">
        <f t="shared" si="10"/>
        <v>7.6358509536739172E-2</v>
      </c>
    </row>
    <row r="552" spans="1:2" x14ac:dyDescent="0.25">
      <c r="A552" s="9">
        <v>1.44</v>
      </c>
      <c r="B552" s="9">
        <f t="shared" si="10"/>
        <v>7.4933699534327047E-2</v>
      </c>
    </row>
    <row r="553" spans="1:2" x14ac:dyDescent="0.25">
      <c r="A553" s="9">
        <v>1.45</v>
      </c>
      <c r="B553" s="9">
        <f t="shared" si="10"/>
        <v>7.3529259609648401E-2</v>
      </c>
    </row>
    <row r="554" spans="1:2" x14ac:dyDescent="0.25">
      <c r="A554" s="9">
        <v>1.46</v>
      </c>
      <c r="B554" s="9">
        <f t="shared" si="10"/>
        <v>7.2145036965893805E-2</v>
      </c>
    </row>
    <row r="555" spans="1:2" x14ac:dyDescent="0.25">
      <c r="A555" s="9">
        <v>1.47</v>
      </c>
      <c r="B555" s="9">
        <f t="shared" si="10"/>
        <v>7.078087699168556E-2</v>
      </c>
    </row>
    <row r="556" spans="1:2" x14ac:dyDescent="0.25">
      <c r="A556" s="9">
        <v>1.48</v>
      </c>
      <c r="B556" s="9">
        <f t="shared" si="10"/>
        <v>6.9436623333331671E-2</v>
      </c>
    </row>
    <row r="557" spans="1:2" x14ac:dyDescent="0.25">
      <c r="A557" s="9">
        <v>1.49</v>
      </c>
      <c r="B557" s="9">
        <f t="shared" si="10"/>
        <v>6.8112117966725449E-2</v>
      </c>
    </row>
    <row r="558" spans="1:2" x14ac:dyDescent="0.25">
      <c r="A558" s="9">
        <v>1.5</v>
      </c>
      <c r="B558" s="9">
        <f t="shared" si="10"/>
        <v>6.6807201268858085E-2</v>
      </c>
    </row>
    <row r="559" spans="1:2" x14ac:dyDescent="0.25">
      <c r="A559" s="9">
        <v>1.51</v>
      </c>
      <c r="B559" s="9">
        <f t="shared" si="10"/>
        <v>6.5521712088916439E-2</v>
      </c>
    </row>
    <row r="560" spans="1:2" x14ac:dyDescent="0.25">
      <c r="A560" s="9">
        <v>1.52</v>
      </c>
      <c r="B560" s="9">
        <f t="shared" si="10"/>
        <v>6.4255487818935753E-2</v>
      </c>
    </row>
    <row r="561" spans="1:2" x14ac:dyDescent="0.25">
      <c r="A561" s="9">
        <v>1.53</v>
      </c>
      <c r="B561" s="9">
        <f t="shared" si="10"/>
        <v>6.3008364463978395E-2</v>
      </c>
    </row>
    <row r="562" spans="1:2" x14ac:dyDescent="0.25">
      <c r="A562" s="9">
        <v>1.54</v>
      </c>
      <c r="B562" s="9">
        <f t="shared" si="10"/>
        <v>6.1780176711811907E-2</v>
      </c>
    </row>
    <row r="563" spans="1:2" x14ac:dyDescent="0.25">
      <c r="A563" s="9">
        <v>1.55</v>
      </c>
      <c r="B563" s="9">
        <f t="shared" si="10"/>
        <v>6.0570758002059022E-2</v>
      </c>
    </row>
    <row r="564" spans="1:2" x14ac:dyDescent="0.25">
      <c r="A564" s="9">
        <v>1.56</v>
      </c>
      <c r="B564" s="9">
        <f t="shared" si="10"/>
        <v>5.9379940594793013E-2</v>
      </c>
    </row>
    <row r="565" spans="1:2" x14ac:dyDescent="0.25">
      <c r="A565" s="9">
        <v>1.57</v>
      </c>
      <c r="B565" s="9">
        <f t="shared" si="10"/>
        <v>5.8207555638553066E-2</v>
      </c>
    </row>
    <row r="566" spans="1:2" x14ac:dyDescent="0.25">
      <c r="A566" s="9">
        <v>1.58</v>
      </c>
      <c r="B566" s="9">
        <f t="shared" si="10"/>
        <v>5.7053433237754136E-2</v>
      </c>
    </row>
    <row r="567" spans="1:2" x14ac:dyDescent="0.25">
      <c r="A567" s="9">
        <v>1.59</v>
      </c>
      <c r="B567" s="9">
        <f t="shared" si="10"/>
        <v>5.5917402519469417E-2</v>
      </c>
    </row>
    <row r="568" spans="1:2" x14ac:dyDescent="0.25">
      <c r="A568" s="9">
        <v>1.6</v>
      </c>
      <c r="B568" s="9">
        <f t="shared" si="10"/>
        <v>5.4799291699557995E-2</v>
      </c>
    </row>
    <row r="569" spans="1:2" x14ac:dyDescent="0.25">
      <c r="A569" s="9">
        <v>1.61</v>
      </c>
      <c r="B569" s="9">
        <f t="shared" si="10"/>
        <v>5.3698928148119718E-2</v>
      </c>
    </row>
    <row r="570" spans="1:2" x14ac:dyDescent="0.25">
      <c r="A570" s="9">
        <v>1.62</v>
      </c>
      <c r="B570" s="9">
        <f t="shared" si="10"/>
        <v>5.2616138454252059E-2</v>
      </c>
    </row>
    <row r="571" spans="1:2" x14ac:dyDescent="0.25">
      <c r="A571" s="9">
        <v>1.63</v>
      </c>
      <c r="B571" s="9">
        <f t="shared" si="10"/>
        <v>5.1550748490089338E-2</v>
      </c>
    </row>
    <row r="572" spans="1:2" x14ac:dyDescent="0.25">
      <c r="A572" s="9">
        <v>1.64</v>
      </c>
      <c r="B572" s="9">
        <f t="shared" si="10"/>
        <v>5.0502583474103746E-2</v>
      </c>
    </row>
    <row r="573" spans="1:2" x14ac:dyDescent="0.25">
      <c r="A573" s="9">
        <v>1.65</v>
      </c>
      <c r="B573" s="9">
        <f t="shared" si="10"/>
        <v>4.9471468033648103E-2</v>
      </c>
    </row>
    <row r="574" spans="1:2" x14ac:dyDescent="0.25">
      <c r="A574" s="9">
        <v>1.66</v>
      </c>
      <c r="B574" s="9">
        <f t="shared" si="10"/>
        <v>4.8457226266722886E-2</v>
      </c>
    </row>
    <row r="575" spans="1:2" x14ac:dyDescent="0.25">
      <c r="A575" s="9">
        <v>1.67</v>
      </c>
      <c r="B575" s="9">
        <f t="shared" si="10"/>
        <v>4.7459681802947351E-2</v>
      </c>
    </row>
    <row r="576" spans="1:2" x14ac:dyDescent="0.25">
      <c r="A576" s="9">
        <v>1.68</v>
      </c>
      <c r="B576" s="9">
        <f t="shared" si="10"/>
        <v>4.6478657863720074E-2</v>
      </c>
    </row>
    <row r="577" spans="1:2" x14ac:dyDescent="0.25">
      <c r="A577" s="9">
        <v>1.69</v>
      </c>
      <c r="B577" s="9">
        <f t="shared" si="10"/>
        <v>4.5513977321549826E-2</v>
      </c>
    </row>
    <row r="578" spans="1:2" x14ac:dyDescent="0.25">
      <c r="A578" s="9">
        <v>1.7</v>
      </c>
      <c r="B578" s="9">
        <f t="shared" si="10"/>
        <v>4.4565462758543006E-2</v>
      </c>
    </row>
    <row r="579" spans="1:2" x14ac:dyDescent="0.25">
      <c r="A579" s="9">
        <v>1.71</v>
      </c>
      <c r="B579" s="9">
        <f t="shared" si="10"/>
        <v>4.3632936524031884E-2</v>
      </c>
    </row>
    <row r="580" spans="1:2" x14ac:dyDescent="0.25">
      <c r="A580" s="9">
        <v>1.72</v>
      </c>
      <c r="B580" s="9">
        <f t="shared" si="10"/>
        <v>4.2716220791328863E-2</v>
      </c>
    </row>
    <row r="581" spans="1:2" x14ac:dyDescent="0.25">
      <c r="A581" s="9">
        <v>1.73</v>
      </c>
      <c r="B581" s="9">
        <f t="shared" si="10"/>
        <v>4.1815137613594899E-2</v>
      </c>
    </row>
    <row r="582" spans="1:2" x14ac:dyDescent="0.25">
      <c r="A582" s="9">
        <v>1.74</v>
      </c>
      <c r="B582" s="9">
        <f t="shared" si="10"/>
        <v>4.0929508978807316E-2</v>
      </c>
    </row>
    <row r="583" spans="1:2" x14ac:dyDescent="0.25">
      <c r="A583" s="9">
        <v>1.75</v>
      </c>
      <c r="B583" s="9">
        <f t="shared" si="10"/>
        <v>4.0059156863817114E-2</v>
      </c>
    </row>
    <row r="584" spans="1:2" x14ac:dyDescent="0.25">
      <c r="A584" s="9">
        <v>1.76</v>
      </c>
      <c r="B584" s="9">
        <f t="shared" si="10"/>
        <v>3.9203903287482689E-2</v>
      </c>
    </row>
    <row r="585" spans="1:2" x14ac:dyDescent="0.25">
      <c r="A585" s="9">
        <v>1.77</v>
      </c>
      <c r="B585" s="9">
        <f t="shared" si="10"/>
        <v>3.8363570362871191E-2</v>
      </c>
    </row>
    <row r="586" spans="1:2" x14ac:dyDescent="0.25">
      <c r="A586" s="9">
        <v>1.78</v>
      </c>
      <c r="B586" s="9">
        <f t="shared" si="10"/>
        <v>3.7537980348516742E-2</v>
      </c>
    </row>
    <row r="587" spans="1:2" x14ac:dyDescent="0.25">
      <c r="A587" s="9">
        <v>1.79</v>
      </c>
      <c r="B587" s="9">
        <f t="shared" si="10"/>
        <v>3.6726955698726305E-2</v>
      </c>
    </row>
    <row r="588" spans="1:2" x14ac:dyDescent="0.25">
      <c r="A588" s="9">
        <v>1.8</v>
      </c>
      <c r="B588" s="9">
        <f t="shared" si="10"/>
        <v>3.5930319112925768E-2</v>
      </c>
    </row>
    <row r="589" spans="1:2" x14ac:dyDescent="0.25">
      <c r="A589" s="9">
        <v>1.81</v>
      </c>
      <c r="B589" s="9">
        <f t="shared" si="10"/>
        <v>3.5147893584038803E-2</v>
      </c>
    </row>
    <row r="590" spans="1:2" x14ac:dyDescent="0.25">
      <c r="A590" s="9">
        <v>1.82</v>
      </c>
      <c r="B590" s="9">
        <f t="shared" si="10"/>
        <v>3.4379502445889942E-2</v>
      </c>
    </row>
    <row r="591" spans="1:2" x14ac:dyDescent="0.25">
      <c r="A591" s="9">
        <v>1.83</v>
      </c>
      <c r="B591" s="9">
        <f t="shared" si="10"/>
        <v>3.3624969419628337E-2</v>
      </c>
    </row>
    <row r="592" spans="1:2" x14ac:dyDescent="0.25">
      <c r="A592" s="9">
        <v>1.84</v>
      </c>
      <c r="B592" s="9">
        <f t="shared" si="10"/>
        <v>3.2884118659163852E-2</v>
      </c>
    </row>
    <row r="593" spans="1:2" x14ac:dyDescent="0.25">
      <c r="A593" s="9">
        <v>1.85</v>
      </c>
      <c r="B593" s="9">
        <f t="shared" si="10"/>
        <v>3.2156774795613741E-2</v>
      </c>
    </row>
    <row r="594" spans="1:2" x14ac:dyDescent="0.25">
      <c r="A594" s="9">
        <v>1.86</v>
      </c>
      <c r="B594" s="9">
        <f t="shared" si="10"/>
        <v>3.1442762980752659E-2</v>
      </c>
    </row>
    <row r="595" spans="1:2" x14ac:dyDescent="0.25">
      <c r="A595" s="9">
        <v>1.87</v>
      </c>
      <c r="B595" s="9">
        <f t="shared" si="10"/>
        <v>3.0741908929465933E-2</v>
      </c>
    </row>
    <row r="596" spans="1:2" x14ac:dyDescent="0.25">
      <c r="A596" s="9">
        <v>1.88</v>
      </c>
      <c r="B596" s="9">
        <f t="shared" si="10"/>
        <v>3.0054038961199736E-2</v>
      </c>
    </row>
    <row r="597" spans="1:2" x14ac:dyDescent="0.25">
      <c r="A597" s="9">
        <v>1.89</v>
      </c>
      <c r="B597" s="9">
        <f t="shared" si="10"/>
        <v>2.9378980040409397E-2</v>
      </c>
    </row>
    <row r="598" spans="1:2" x14ac:dyDescent="0.25">
      <c r="A598" s="9">
        <v>1.9</v>
      </c>
      <c r="B598" s="9">
        <f t="shared" si="10"/>
        <v>2.8716559816001852E-2</v>
      </c>
    </row>
    <row r="599" spans="1:2" x14ac:dyDescent="0.25">
      <c r="A599" s="9">
        <v>1.91</v>
      </c>
      <c r="B599" s="9">
        <f t="shared" si="10"/>
        <v>2.8066606659772564E-2</v>
      </c>
    </row>
    <row r="600" spans="1:2" x14ac:dyDescent="0.25">
      <c r="A600" s="9">
        <v>1.92</v>
      </c>
      <c r="B600" s="9">
        <f t="shared" si="10"/>
        <v>2.7428949703836802E-2</v>
      </c>
    </row>
    <row r="601" spans="1:2" x14ac:dyDescent="0.25">
      <c r="A601" s="9">
        <v>1.93</v>
      </c>
      <c r="B601" s="9">
        <f t="shared" si="10"/>
        <v>2.6803418877054952E-2</v>
      </c>
    </row>
    <row r="602" spans="1:2" x14ac:dyDescent="0.25">
      <c r="A602" s="9">
        <v>1.94</v>
      </c>
      <c r="B602" s="9">
        <f t="shared" ref="B602:B665" si="11">1-NORMSDIST(A602)</f>
        <v>2.6189844940452733E-2</v>
      </c>
    </row>
    <row r="603" spans="1:2" x14ac:dyDescent="0.25">
      <c r="A603" s="9">
        <v>1.95</v>
      </c>
      <c r="B603" s="9">
        <f t="shared" si="11"/>
        <v>2.5588059521638562E-2</v>
      </c>
    </row>
    <row r="604" spans="1:2" x14ac:dyDescent="0.25">
      <c r="A604" s="9">
        <v>1.96</v>
      </c>
      <c r="B604" s="9">
        <f t="shared" si="11"/>
        <v>2.4997895148220484E-2</v>
      </c>
    </row>
    <row r="605" spans="1:2" x14ac:dyDescent="0.25">
      <c r="A605" s="9">
        <v>1.97</v>
      </c>
      <c r="B605" s="9">
        <f t="shared" si="11"/>
        <v>2.4419185280222577E-2</v>
      </c>
    </row>
    <row r="606" spans="1:2" x14ac:dyDescent="0.25">
      <c r="A606" s="9">
        <v>1.98</v>
      </c>
      <c r="B606" s="9">
        <f t="shared" si="11"/>
        <v>2.3851764341508486E-2</v>
      </c>
    </row>
    <row r="607" spans="1:2" x14ac:dyDescent="0.25">
      <c r="A607" s="9">
        <v>1.99</v>
      </c>
      <c r="B607" s="9">
        <f t="shared" si="11"/>
        <v>2.3295467750211851E-2</v>
      </c>
    </row>
    <row r="608" spans="1:2" x14ac:dyDescent="0.25">
      <c r="A608" s="9">
        <v>2</v>
      </c>
      <c r="B608" s="9">
        <f t="shared" si="11"/>
        <v>2.2750131948179209E-2</v>
      </c>
    </row>
    <row r="609" spans="1:2" x14ac:dyDescent="0.25">
      <c r="A609" s="9">
        <v>2.0099999999999998</v>
      </c>
      <c r="B609" s="9">
        <f t="shared" si="11"/>
        <v>2.221559442943144E-2</v>
      </c>
    </row>
    <row r="610" spans="1:2" x14ac:dyDescent="0.25">
      <c r="A610" s="9">
        <v>2.02</v>
      </c>
      <c r="B610" s="9">
        <f t="shared" si="11"/>
        <v>2.1691693767646791E-2</v>
      </c>
    </row>
    <row r="611" spans="1:2" x14ac:dyDescent="0.25">
      <c r="A611" s="9">
        <v>2.0299999999999998</v>
      </c>
      <c r="B611" s="9">
        <f t="shared" si="11"/>
        <v>2.1178269642672221E-2</v>
      </c>
    </row>
    <row r="612" spans="1:2" x14ac:dyDescent="0.25">
      <c r="A612" s="9">
        <v>2.04</v>
      </c>
      <c r="B612" s="9">
        <f t="shared" si="11"/>
        <v>2.0675162866070074E-2</v>
      </c>
    </row>
    <row r="613" spans="1:2" x14ac:dyDescent="0.25">
      <c r="A613" s="9">
        <v>2.0499999999999998</v>
      </c>
      <c r="B613" s="9">
        <f t="shared" si="11"/>
        <v>2.0182215405704418E-2</v>
      </c>
    </row>
    <row r="614" spans="1:2" x14ac:dyDescent="0.25">
      <c r="A614" s="9">
        <v>2.06</v>
      </c>
      <c r="B614" s="9">
        <f t="shared" si="11"/>
        <v>1.9699270409376912E-2</v>
      </c>
    </row>
    <row r="615" spans="1:2" x14ac:dyDescent="0.25">
      <c r="A615" s="9">
        <v>2.0699999999999998</v>
      </c>
      <c r="B615" s="9">
        <f t="shared" si="11"/>
        <v>1.9226172227517324E-2</v>
      </c>
    </row>
    <row r="616" spans="1:2" x14ac:dyDescent="0.25">
      <c r="A616" s="9">
        <v>2.08</v>
      </c>
      <c r="B616" s="9">
        <f t="shared" si="11"/>
        <v>1.8762766434937794E-2</v>
      </c>
    </row>
    <row r="617" spans="1:2" x14ac:dyDescent="0.25">
      <c r="A617" s="9">
        <v>2.09</v>
      </c>
      <c r="B617" s="9">
        <f t="shared" si="11"/>
        <v>1.8308899851658955E-2</v>
      </c>
    </row>
    <row r="618" spans="1:2" x14ac:dyDescent="0.25">
      <c r="A618" s="9">
        <v>2.1</v>
      </c>
      <c r="B618" s="9">
        <f t="shared" si="11"/>
        <v>1.7864420562816563E-2</v>
      </c>
    </row>
    <row r="619" spans="1:2" x14ac:dyDescent="0.25">
      <c r="A619" s="9">
        <v>2.11</v>
      </c>
      <c r="B619" s="9">
        <f t="shared" si="11"/>
        <v>1.7429177937657081E-2</v>
      </c>
    </row>
    <row r="620" spans="1:2" x14ac:dyDescent="0.25">
      <c r="A620" s="9">
        <v>2.12</v>
      </c>
      <c r="B620" s="9">
        <f t="shared" si="11"/>
        <v>1.700302264763276E-2</v>
      </c>
    </row>
    <row r="621" spans="1:2" x14ac:dyDescent="0.25">
      <c r="A621" s="9">
        <v>2.13</v>
      </c>
      <c r="B621" s="9">
        <f t="shared" si="11"/>
        <v>1.6585806683604987E-2</v>
      </c>
    </row>
    <row r="622" spans="1:2" x14ac:dyDescent="0.25">
      <c r="A622" s="9">
        <v>2.14</v>
      </c>
      <c r="B622" s="9">
        <f t="shared" si="11"/>
        <v>1.6177383372166121E-2</v>
      </c>
    </row>
    <row r="623" spans="1:2" x14ac:dyDescent="0.25">
      <c r="A623" s="9">
        <v>2.15</v>
      </c>
      <c r="B623" s="9">
        <f t="shared" si="11"/>
        <v>1.5777607391090465E-2</v>
      </c>
    </row>
    <row r="624" spans="1:2" x14ac:dyDescent="0.25">
      <c r="A624" s="9">
        <v>2.16</v>
      </c>
      <c r="B624" s="9">
        <f t="shared" si="11"/>
        <v>1.5386334783925482E-2</v>
      </c>
    </row>
    <row r="625" spans="1:2" x14ac:dyDescent="0.25">
      <c r="A625" s="9">
        <v>2.17</v>
      </c>
      <c r="B625" s="9">
        <f t="shared" si="11"/>
        <v>1.500342297373225E-2</v>
      </c>
    </row>
    <row r="626" spans="1:2" x14ac:dyDescent="0.25">
      <c r="A626" s="9">
        <v>2.1800000000000002</v>
      </c>
      <c r="B626" s="9">
        <f t="shared" si="11"/>
        <v>1.4628730775989252E-2</v>
      </c>
    </row>
    <row r="627" spans="1:2" x14ac:dyDescent="0.25">
      <c r="A627" s="9">
        <v>2.19</v>
      </c>
      <c r="B627" s="9">
        <f t="shared" si="11"/>
        <v>1.4262118410668823E-2</v>
      </c>
    </row>
    <row r="628" spans="1:2" x14ac:dyDescent="0.25">
      <c r="A628" s="9">
        <v>2.2000000000000002</v>
      </c>
      <c r="B628" s="9">
        <f t="shared" si="11"/>
        <v>1.390344751349859E-2</v>
      </c>
    </row>
    <row r="629" spans="1:2" x14ac:dyDescent="0.25">
      <c r="A629" s="9">
        <v>2.21</v>
      </c>
      <c r="B629" s="9">
        <f t="shared" si="11"/>
        <v>1.3552581146419995E-2</v>
      </c>
    </row>
    <row r="630" spans="1:2" x14ac:dyDescent="0.25">
      <c r="A630" s="9">
        <v>2.2200000000000002</v>
      </c>
      <c r="B630" s="9">
        <f t="shared" si="11"/>
        <v>1.3209383807256225E-2</v>
      </c>
    </row>
    <row r="631" spans="1:2" x14ac:dyDescent="0.25">
      <c r="A631" s="9">
        <v>2.23</v>
      </c>
      <c r="B631" s="9">
        <f t="shared" si="11"/>
        <v>1.2873721438601993E-2</v>
      </c>
    </row>
    <row r="632" spans="1:2" x14ac:dyDescent="0.25">
      <c r="A632" s="9">
        <v>2.2400000000000002</v>
      </c>
      <c r="B632" s="9">
        <f t="shared" si="11"/>
        <v>1.2545461435946592E-2</v>
      </c>
    </row>
    <row r="633" spans="1:2" x14ac:dyDescent="0.25">
      <c r="A633" s="9">
        <v>2.25</v>
      </c>
      <c r="B633" s="9">
        <f t="shared" si="11"/>
        <v>1.2224472655044671E-2</v>
      </c>
    </row>
    <row r="634" spans="1:2" x14ac:dyDescent="0.25">
      <c r="A634" s="9">
        <v>2.2599999999999998</v>
      </c>
      <c r="B634" s="9">
        <f t="shared" si="11"/>
        <v>1.1910625418547038E-2</v>
      </c>
    </row>
    <row r="635" spans="1:2" x14ac:dyDescent="0.25">
      <c r="A635" s="9">
        <v>2.27</v>
      </c>
      <c r="B635" s="9">
        <f t="shared" si="11"/>
        <v>1.1603791521903495E-2</v>
      </c>
    </row>
    <row r="636" spans="1:2" x14ac:dyDescent="0.25">
      <c r="A636" s="9">
        <v>2.2799999999999998</v>
      </c>
      <c r="B636" s="9">
        <f t="shared" si="11"/>
        <v>1.1303844238552796E-2</v>
      </c>
    </row>
    <row r="637" spans="1:2" x14ac:dyDescent="0.25">
      <c r="A637" s="9">
        <v>2.29</v>
      </c>
      <c r="B637" s="9">
        <f t="shared" si="11"/>
        <v>1.1010658324411393E-2</v>
      </c>
    </row>
    <row r="638" spans="1:2" x14ac:dyDescent="0.25">
      <c r="A638" s="9">
        <v>2.2999999999999998</v>
      </c>
      <c r="B638" s="9">
        <f t="shared" si="11"/>
        <v>1.0724110021675837E-2</v>
      </c>
    </row>
    <row r="639" spans="1:2" x14ac:dyDescent="0.25">
      <c r="A639" s="9">
        <v>2.31</v>
      </c>
      <c r="B639" s="9">
        <f t="shared" si="11"/>
        <v>1.0444077061951051E-2</v>
      </c>
    </row>
    <row r="640" spans="1:2" x14ac:dyDescent="0.25">
      <c r="A640" s="9">
        <v>2.3199999999999998</v>
      </c>
      <c r="B640" s="9">
        <f t="shared" si="11"/>
        <v>1.0170438668719695E-2</v>
      </c>
    </row>
    <row r="641" spans="1:2" x14ac:dyDescent="0.25">
      <c r="A641" s="9">
        <v>2.33</v>
      </c>
      <c r="B641" s="9">
        <f t="shared" si="11"/>
        <v>9.9030755591642539E-3</v>
      </c>
    </row>
    <row r="642" spans="1:2" x14ac:dyDescent="0.25">
      <c r="A642" s="9">
        <v>2.34</v>
      </c>
      <c r="B642" s="9">
        <f t="shared" si="11"/>
        <v>9.6418699453583168E-3</v>
      </c>
    </row>
    <row r="643" spans="1:2" x14ac:dyDescent="0.25">
      <c r="A643" s="9">
        <v>2.35</v>
      </c>
      <c r="B643" s="9">
        <f t="shared" si="11"/>
        <v>9.3867055348385575E-3</v>
      </c>
    </row>
    <row r="644" spans="1:2" x14ac:dyDescent="0.25">
      <c r="A644" s="9">
        <v>2.36</v>
      </c>
      <c r="B644" s="9">
        <f t="shared" si="11"/>
        <v>9.1374675305726516E-3</v>
      </c>
    </row>
    <row r="645" spans="1:2" x14ac:dyDescent="0.25">
      <c r="A645" s="9">
        <v>2.37</v>
      </c>
      <c r="B645" s="9">
        <f t="shared" si="11"/>
        <v>8.8940426303367737E-3</v>
      </c>
    </row>
    <row r="646" spans="1:2" x14ac:dyDescent="0.25">
      <c r="A646" s="9">
        <v>2.38</v>
      </c>
      <c r="B646" s="9">
        <f t="shared" si="11"/>
        <v>8.6563190255165567E-3</v>
      </c>
    </row>
    <row r="647" spans="1:2" x14ac:dyDescent="0.25">
      <c r="A647" s="9">
        <v>2.39</v>
      </c>
      <c r="B647" s="9">
        <f t="shared" si="11"/>
        <v>8.4241863993457233E-3</v>
      </c>
    </row>
    <row r="648" spans="1:2" x14ac:dyDescent="0.25">
      <c r="A648" s="9">
        <v>2.4</v>
      </c>
      <c r="B648" s="9">
        <f t="shared" si="11"/>
        <v>8.1975359245961554E-3</v>
      </c>
    </row>
    <row r="649" spans="1:2" x14ac:dyDescent="0.25">
      <c r="A649" s="9">
        <v>2.41</v>
      </c>
      <c r="B649" s="9">
        <f t="shared" si="11"/>
        <v>7.9762602607337252E-3</v>
      </c>
    </row>
    <row r="650" spans="1:2" x14ac:dyDescent="0.25">
      <c r="A650" s="9">
        <v>2.42</v>
      </c>
      <c r="B650" s="9">
        <f t="shared" si="11"/>
        <v>7.760253550553653E-3</v>
      </c>
    </row>
    <row r="651" spans="1:2" x14ac:dyDescent="0.25">
      <c r="A651" s="9">
        <v>2.4300000000000002</v>
      </c>
      <c r="B651" s="9">
        <f t="shared" si="11"/>
        <v>7.5494114163091597E-3</v>
      </c>
    </row>
    <row r="652" spans="1:2" x14ac:dyDescent="0.25">
      <c r="A652" s="9">
        <v>2.44</v>
      </c>
      <c r="B652" s="9">
        <f t="shared" si="11"/>
        <v>7.3436309553482904E-3</v>
      </c>
    </row>
    <row r="653" spans="1:2" x14ac:dyDescent="0.25">
      <c r="A653" s="9">
        <v>2.4500000000000002</v>
      </c>
      <c r="B653" s="9">
        <f t="shared" si="11"/>
        <v>7.1428107352714543E-3</v>
      </c>
    </row>
    <row r="654" spans="1:2" x14ac:dyDescent="0.25">
      <c r="A654" s="9">
        <v>2.46</v>
      </c>
      <c r="B654" s="9">
        <f t="shared" si="11"/>
        <v>6.9468507886243369E-3</v>
      </c>
    </row>
    <row r="655" spans="1:2" x14ac:dyDescent="0.25">
      <c r="A655" s="9">
        <v>2.4700000000000002</v>
      </c>
      <c r="B655" s="9">
        <f t="shared" si="11"/>
        <v>6.7556526071406164E-3</v>
      </c>
    </row>
    <row r="656" spans="1:2" x14ac:dyDescent="0.25">
      <c r="A656" s="9">
        <v>2.48</v>
      </c>
      <c r="B656" s="9">
        <f t="shared" si="11"/>
        <v>6.5691191355468082E-3</v>
      </c>
    </row>
    <row r="657" spans="1:2" x14ac:dyDescent="0.25">
      <c r="A657" s="9">
        <v>2.4900000000000002</v>
      </c>
      <c r="B657" s="9">
        <f t="shared" si="11"/>
        <v>6.3871547649432259E-3</v>
      </c>
    </row>
    <row r="658" spans="1:2" x14ac:dyDescent="0.25">
      <c r="A658" s="9">
        <v>2.5</v>
      </c>
      <c r="B658" s="9">
        <f t="shared" si="11"/>
        <v>6.2096653257761592E-3</v>
      </c>
    </row>
    <row r="659" spans="1:2" x14ac:dyDescent="0.25">
      <c r="A659" s="9">
        <v>2.5099999999999998</v>
      </c>
      <c r="B659" s="9">
        <f t="shared" si="11"/>
        <v>6.0365580804127017E-3</v>
      </c>
    </row>
    <row r="660" spans="1:2" x14ac:dyDescent="0.25">
      <c r="A660" s="9">
        <v>2.52</v>
      </c>
      <c r="B660" s="9">
        <f t="shared" si="11"/>
        <v>5.8677417153325528E-3</v>
      </c>
    </row>
    <row r="661" spans="1:2" x14ac:dyDescent="0.25">
      <c r="A661" s="9">
        <v>2.5299999999999998</v>
      </c>
      <c r="B661" s="9">
        <f t="shared" si="11"/>
        <v>5.7031263329506698E-3</v>
      </c>
    </row>
    <row r="662" spans="1:2" x14ac:dyDescent="0.25">
      <c r="A662" s="9">
        <v>2.54</v>
      </c>
      <c r="B662" s="9">
        <f t="shared" si="11"/>
        <v>5.5426234430826504E-3</v>
      </c>
    </row>
    <row r="663" spans="1:2" x14ac:dyDescent="0.25">
      <c r="A663" s="9">
        <v>2.5499999999999998</v>
      </c>
      <c r="B663" s="9">
        <f t="shared" si="11"/>
        <v>5.3861459540667234E-3</v>
      </c>
    </row>
    <row r="664" spans="1:2" x14ac:dyDescent="0.25">
      <c r="A664" s="9">
        <v>2.56</v>
      </c>
      <c r="B664" s="9">
        <f t="shared" si="11"/>
        <v>5.2336081635557807E-3</v>
      </c>
    </row>
    <row r="665" spans="1:2" x14ac:dyDescent="0.25">
      <c r="A665" s="9">
        <v>2.57</v>
      </c>
      <c r="B665" s="9">
        <f t="shared" si="11"/>
        <v>5.0849257489909983E-3</v>
      </c>
    </row>
    <row r="666" spans="1:2" x14ac:dyDescent="0.25">
      <c r="A666" s="9">
        <v>2.58</v>
      </c>
      <c r="B666" s="9">
        <f t="shared" ref="B666:B729" si="12">1-NORMSDIST(A666)</f>
        <v>4.9400157577705883E-3</v>
      </c>
    </row>
    <row r="667" spans="1:2" x14ac:dyDescent="0.25">
      <c r="A667" s="9">
        <v>2.59</v>
      </c>
      <c r="B667" s="9">
        <f t="shared" si="12"/>
        <v>4.7987965971262314E-3</v>
      </c>
    </row>
    <row r="668" spans="1:2" x14ac:dyDescent="0.25">
      <c r="A668" s="9">
        <v>2.6</v>
      </c>
      <c r="B668" s="9">
        <f t="shared" si="12"/>
        <v>4.661188023718732E-3</v>
      </c>
    </row>
    <row r="669" spans="1:2" x14ac:dyDescent="0.25">
      <c r="A669" s="9">
        <v>2.61</v>
      </c>
      <c r="B669" s="9">
        <f t="shared" si="12"/>
        <v>4.5271111329673319E-3</v>
      </c>
    </row>
    <row r="670" spans="1:2" x14ac:dyDescent="0.25">
      <c r="A670" s="9">
        <v>2.62</v>
      </c>
      <c r="B670" s="9">
        <f t="shared" si="12"/>
        <v>4.3964883481213413E-3</v>
      </c>
    </row>
    <row r="671" spans="1:2" x14ac:dyDescent="0.25">
      <c r="A671" s="9">
        <v>2.63</v>
      </c>
      <c r="B671" s="9">
        <f t="shared" si="12"/>
        <v>4.2692434090892961E-3</v>
      </c>
    </row>
    <row r="672" spans="1:2" x14ac:dyDescent="0.25">
      <c r="A672" s="9">
        <v>2.64</v>
      </c>
      <c r="B672" s="9">
        <f t="shared" si="12"/>
        <v>4.14530136103608E-3</v>
      </c>
    </row>
    <row r="673" spans="1:2" x14ac:dyDescent="0.25">
      <c r="A673" s="9">
        <v>2.65</v>
      </c>
      <c r="B673" s="9">
        <f t="shared" si="12"/>
        <v>4.0245885427583339E-3</v>
      </c>
    </row>
    <row r="674" spans="1:2" x14ac:dyDescent="0.25">
      <c r="A674" s="9">
        <v>2.66</v>
      </c>
      <c r="B674" s="9">
        <f t="shared" si="12"/>
        <v>3.907032574852809E-3</v>
      </c>
    </row>
    <row r="675" spans="1:2" x14ac:dyDescent="0.25">
      <c r="A675" s="9">
        <v>2.67</v>
      </c>
      <c r="B675" s="9">
        <f t="shared" si="12"/>
        <v>3.7925623476854353E-3</v>
      </c>
    </row>
    <row r="676" spans="1:2" x14ac:dyDescent="0.25">
      <c r="A676" s="9">
        <v>2.68</v>
      </c>
      <c r="B676" s="9">
        <f t="shared" si="12"/>
        <v>3.6811080091749826E-3</v>
      </c>
    </row>
    <row r="677" spans="1:2" x14ac:dyDescent="0.25">
      <c r="A677" s="9">
        <v>2.69</v>
      </c>
      <c r="B677" s="9">
        <f t="shared" si="12"/>
        <v>3.5726009523997515E-3</v>
      </c>
    </row>
    <row r="678" spans="1:2" x14ac:dyDescent="0.25">
      <c r="A678" s="9">
        <v>2.7</v>
      </c>
      <c r="B678" s="9">
        <f t="shared" si="12"/>
        <v>3.4669738030406183E-3</v>
      </c>
    </row>
    <row r="679" spans="1:2" x14ac:dyDescent="0.25">
      <c r="A679" s="9">
        <v>2.71</v>
      </c>
      <c r="B679" s="9">
        <f t="shared" si="12"/>
        <v>3.3641604066692032E-3</v>
      </c>
    </row>
    <row r="680" spans="1:2" x14ac:dyDescent="0.25">
      <c r="A680" s="9">
        <v>2.72</v>
      </c>
      <c r="B680" s="9">
        <f t="shared" si="12"/>
        <v>3.2640958158912659E-3</v>
      </c>
    </row>
    <row r="681" spans="1:2" x14ac:dyDescent="0.25">
      <c r="A681" s="9">
        <v>2.73</v>
      </c>
      <c r="B681" s="9">
        <f t="shared" si="12"/>
        <v>3.1667162773577617E-3</v>
      </c>
    </row>
    <row r="682" spans="1:2" x14ac:dyDescent="0.25">
      <c r="A682" s="9">
        <v>2.74</v>
      </c>
      <c r="B682" s="9">
        <f t="shared" si="12"/>
        <v>3.0719592186504441E-3</v>
      </c>
    </row>
    <row r="683" spans="1:2" x14ac:dyDescent="0.25">
      <c r="A683" s="9">
        <v>2.75</v>
      </c>
      <c r="B683" s="9">
        <f t="shared" si="12"/>
        <v>2.9797632350545555E-3</v>
      </c>
    </row>
    <row r="684" spans="1:2" x14ac:dyDescent="0.25">
      <c r="A684" s="9">
        <v>2.76</v>
      </c>
      <c r="B684" s="9">
        <f t="shared" si="12"/>
        <v>2.8900680762261599E-3</v>
      </c>
    </row>
    <row r="685" spans="1:2" x14ac:dyDescent="0.25">
      <c r="A685" s="9">
        <v>2.77</v>
      </c>
      <c r="B685" s="9">
        <f t="shared" si="12"/>
        <v>2.8028146327649939E-3</v>
      </c>
    </row>
    <row r="686" spans="1:2" x14ac:dyDescent="0.25">
      <c r="A686" s="9">
        <v>2.78</v>
      </c>
      <c r="B686" s="9">
        <f t="shared" si="12"/>
        <v>2.7179449227012764E-3</v>
      </c>
    </row>
    <row r="687" spans="1:2" x14ac:dyDescent="0.25">
      <c r="A687" s="9">
        <v>2.79</v>
      </c>
      <c r="B687" s="9">
        <f t="shared" si="12"/>
        <v>2.6354020779049137E-3</v>
      </c>
    </row>
    <row r="688" spans="1:2" x14ac:dyDescent="0.25">
      <c r="A688" s="9">
        <v>2.8</v>
      </c>
      <c r="B688" s="9">
        <f t="shared" si="12"/>
        <v>2.5551303304279793E-3</v>
      </c>
    </row>
    <row r="689" spans="1:2" x14ac:dyDescent="0.25">
      <c r="A689" s="9">
        <v>2.81</v>
      </c>
      <c r="B689" s="9">
        <f t="shared" si="12"/>
        <v>2.4770749987859109E-3</v>
      </c>
    </row>
    <row r="690" spans="1:2" x14ac:dyDescent="0.25">
      <c r="A690" s="9">
        <v>2.82</v>
      </c>
      <c r="B690" s="9">
        <f t="shared" si="12"/>
        <v>2.4011824741893006E-3</v>
      </c>
    </row>
    <row r="691" spans="1:2" x14ac:dyDescent="0.25">
      <c r="A691" s="9">
        <v>2.83</v>
      </c>
      <c r="B691" s="9">
        <f t="shared" si="12"/>
        <v>2.3274002067315003E-3</v>
      </c>
    </row>
    <row r="692" spans="1:2" x14ac:dyDescent="0.25">
      <c r="A692" s="9">
        <v>2.84</v>
      </c>
      <c r="B692" s="9">
        <f t="shared" si="12"/>
        <v>2.2556766915423632E-3</v>
      </c>
    </row>
    <row r="693" spans="1:2" x14ac:dyDescent="0.25">
      <c r="A693" s="9">
        <v>2.85</v>
      </c>
      <c r="B693" s="9">
        <f t="shared" si="12"/>
        <v>2.1859614549132322E-3</v>
      </c>
    </row>
    <row r="694" spans="1:2" x14ac:dyDescent="0.25">
      <c r="A694" s="9">
        <v>2.86</v>
      </c>
      <c r="B694" s="9">
        <f t="shared" si="12"/>
        <v>2.1182050404046082E-3</v>
      </c>
    </row>
    <row r="695" spans="1:2" x14ac:dyDescent="0.25">
      <c r="A695" s="9">
        <v>2.87</v>
      </c>
      <c r="B695" s="9">
        <f t="shared" si="12"/>
        <v>2.0523589949397181E-3</v>
      </c>
    </row>
    <row r="696" spans="1:2" x14ac:dyDescent="0.25">
      <c r="A696" s="9">
        <v>2.88</v>
      </c>
      <c r="B696" s="9">
        <f t="shared" si="12"/>
        <v>1.9883758548943087E-3</v>
      </c>
    </row>
    <row r="697" spans="1:2" x14ac:dyDescent="0.25">
      <c r="A697" s="9">
        <v>2.89</v>
      </c>
      <c r="B697" s="9">
        <f t="shared" si="12"/>
        <v>1.9262091321878838E-3</v>
      </c>
    </row>
    <row r="698" spans="1:2" x14ac:dyDescent="0.25">
      <c r="A698" s="9">
        <v>2.9</v>
      </c>
      <c r="B698" s="9">
        <f t="shared" si="12"/>
        <v>1.8658133003840449E-3</v>
      </c>
    </row>
    <row r="699" spans="1:2" x14ac:dyDescent="0.25">
      <c r="A699" s="9">
        <v>2.91</v>
      </c>
      <c r="B699" s="9">
        <f t="shared" si="12"/>
        <v>1.8071437808063751E-3</v>
      </c>
    </row>
    <row r="700" spans="1:2" x14ac:dyDescent="0.25">
      <c r="A700" s="9">
        <v>2.92</v>
      </c>
      <c r="B700" s="9">
        <f t="shared" si="12"/>
        <v>1.7501569286760832E-3</v>
      </c>
    </row>
    <row r="701" spans="1:2" x14ac:dyDescent="0.25">
      <c r="A701" s="9">
        <v>2.93</v>
      </c>
      <c r="B701" s="9">
        <f t="shared" si="12"/>
        <v>1.694810019277293E-3</v>
      </c>
    </row>
    <row r="702" spans="1:2" x14ac:dyDescent="0.25">
      <c r="A702" s="9">
        <v>2.94</v>
      </c>
      <c r="B702" s="9">
        <f t="shared" si="12"/>
        <v>1.6410612341569708E-3</v>
      </c>
    </row>
    <row r="703" spans="1:2" x14ac:dyDescent="0.25">
      <c r="A703" s="9">
        <v>2.95</v>
      </c>
      <c r="B703" s="9">
        <f t="shared" si="12"/>
        <v>1.5888696473648212E-3</v>
      </c>
    </row>
    <row r="704" spans="1:2" x14ac:dyDescent="0.25">
      <c r="A704" s="9">
        <v>2.96</v>
      </c>
      <c r="B704" s="9">
        <f t="shared" si="12"/>
        <v>1.538195211738036E-3</v>
      </c>
    </row>
    <row r="705" spans="1:2" x14ac:dyDescent="0.25">
      <c r="A705" s="9">
        <v>2.97</v>
      </c>
      <c r="B705" s="9">
        <f t="shared" si="12"/>
        <v>1.4889987452374465E-3</v>
      </c>
    </row>
    <row r="706" spans="1:2" x14ac:dyDescent="0.25">
      <c r="A706" s="9">
        <v>2.98</v>
      </c>
      <c r="B706" s="9">
        <f t="shared" si="12"/>
        <v>1.4412419173399638E-3</v>
      </c>
    </row>
    <row r="707" spans="1:2" x14ac:dyDescent="0.25">
      <c r="A707" s="9">
        <v>2.99</v>
      </c>
      <c r="B707" s="9">
        <f t="shared" si="12"/>
        <v>1.3948872354921926E-3</v>
      </c>
    </row>
    <row r="708" spans="1:2" x14ac:dyDescent="0.25">
      <c r="A708" s="9">
        <v>3</v>
      </c>
      <c r="B708" s="9">
        <f t="shared" si="12"/>
        <v>1.3498980316301035E-3</v>
      </c>
    </row>
    <row r="709" spans="1:2" x14ac:dyDescent="0.25">
      <c r="A709" s="9">
        <v>3.01</v>
      </c>
      <c r="B709" s="9">
        <f t="shared" si="12"/>
        <v>1.3062384487694256E-3</v>
      </c>
    </row>
    <row r="710" spans="1:2" x14ac:dyDescent="0.25">
      <c r="A710" s="9">
        <v>3.02</v>
      </c>
      <c r="B710" s="9">
        <f t="shared" si="12"/>
        <v>1.2638734276723129E-3</v>
      </c>
    </row>
    <row r="711" spans="1:2" x14ac:dyDescent="0.25">
      <c r="A711" s="9">
        <v>3.03</v>
      </c>
      <c r="B711" s="9">
        <f t="shared" si="12"/>
        <v>1.2227686935922799E-3</v>
      </c>
    </row>
    <row r="712" spans="1:2" x14ac:dyDescent="0.25">
      <c r="A712" s="9">
        <v>3.04</v>
      </c>
      <c r="B712" s="9">
        <f t="shared" si="12"/>
        <v>1.1828907431044033E-3</v>
      </c>
    </row>
    <row r="713" spans="1:2" x14ac:dyDescent="0.25">
      <c r="A713" s="9">
        <v>3.05</v>
      </c>
      <c r="B713" s="9">
        <f t="shared" si="12"/>
        <v>1.1442068310226761E-3</v>
      </c>
    </row>
    <row r="714" spans="1:2" x14ac:dyDescent="0.25">
      <c r="A714" s="9">
        <v>3.06</v>
      </c>
      <c r="B714" s="9">
        <f t="shared" si="12"/>
        <v>1.1066849574092874E-3</v>
      </c>
    </row>
    <row r="715" spans="1:2" x14ac:dyDescent="0.25">
      <c r="A715" s="9">
        <v>3.07</v>
      </c>
      <c r="B715" s="9">
        <f t="shared" si="12"/>
        <v>1.0702938546789387E-3</v>
      </c>
    </row>
    <row r="716" spans="1:2" x14ac:dyDescent="0.25">
      <c r="A716" s="9">
        <v>3.08</v>
      </c>
      <c r="B716" s="9">
        <f t="shared" si="12"/>
        <v>1.0350029748028566E-3</v>
      </c>
    </row>
    <row r="717" spans="1:2" x14ac:dyDescent="0.25">
      <c r="A717" s="9">
        <v>3.09</v>
      </c>
      <c r="B717" s="9">
        <f t="shared" si="12"/>
        <v>1.0007824766140594E-3</v>
      </c>
    </row>
    <row r="718" spans="1:2" x14ac:dyDescent="0.25">
      <c r="A718" s="9">
        <v>3.1</v>
      </c>
      <c r="B718" s="9">
        <f t="shared" si="12"/>
        <v>9.6760321321831544E-4</v>
      </c>
    </row>
    <row r="719" spans="1:2" x14ac:dyDescent="0.25">
      <c r="A719" s="9">
        <v>3.11</v>
      </c>
      <c r="B719" s="9">
        <f t="shared" si="12"/>
        <v>9.3543671951412666E-4</v>
      </c>
    </row>
    <row r="720" spans="1:2" x14ac:dyDescent="0.25">
      <c r="A720" s="9">
        <v>3.12</v>
      </c>
      <c r="B720" s="9">
        <f t="shared" si="12"/>
        <v>9.042551998222903E-4</v>
      </c>
    </row>
    <row r="721" spans="1:2" x14ac:dyDescent="0.25">
      <c r="A721" s="9">
        <v>3.13</v>
      </c>
      <c r="B721" s="9">
        <f t="shared" si="12"/>
        <v>8.7403151563159032E-4</v>
      </c>
    </row>
    <row r="722" spans="1:2" x14ac:dyDescent="0.25">
      <c r="A722" s="9">
        <v>3.14</v>
      </c>
      <c r="B722" s="9">
        <f t="shared" si="12"/>
        <v>8.447391734586196E-4</v>
      </c>
    </row>
    <row r="723" spans="1:2" x14ac:dyDescent="0.25">
      <c r="A723" s="9">
        <v>3.15</v>
      </c>
      <c r="B723" s="9">
        <f t="shared" si="12"/>
        <v>8.1635231282861653E-4</v>
      </c>
    </row>
    <row r="724" spans="1:2" x14ac:dyDescent="0.25">
      <c r="A724" s="9">
        <v>3.16</v>
      </c>
      <c r="B724" s="9">
        <f t="shared" si="12"/>
        <v>7.8884569437553953E-4</v>
      </c>
    </row>
    <row r="725" spans="1:2" x14ac:dyDescent="0.25">
      <c r="A725" s="9">
        <v>3.17</v>
      </c>
      <c r="B725" s="9">
        <f t="shared" si="12"/>
        <v>7.6219468806726365E-4</v>
      </c>
    </row>
    <row r="726" spans="1:2" x14ac:dyDescent="0.25">
      <c r="A726" s="9">
        <v>3.18</v>
      </c>
      <c r="B726" s="9">
        <f t="shared" si="12"/>
        <v>7.3637526155390098E-4</v>
      </c>
    </row>
    <row r="727" spans="1:2" x14ac:dyDescent="0.25">
      <c r="A727" s="9">
        <v>3.19</v>
      </c>
      <c r="B727" s="9">
        <f t="shared" si="12"/>
        <v>7.1136396864535101E-4</v>
      </c>
    </row>
    <row r="728" spans="1:2" x14ac:dyDescent="0.25">
      <c r="A728" s="9">
        <v>3.2</v>
      </c>
      <c r="B728" s="9">
        <f t="shared" si="12"/>
        <v>6.8713793791586042E-4</v>
      </c>
    </row>
    <row r="729" spans="1:2" x14ac:dyDescent="0.25">
      <c r="A729" s="9">
        <v>3.21</v>
      </c>
      <c r="B729" s="9">
        <f t="shared" si="12"/>
        <v>6.6367486143992238E-4</v>
      </c>
    </row>
    <row r="730" spans="1:2" x14ac:dyDescent="0.25">
      <c r="A730" s="9">
        <v>3.22</v>
      </c>
      <c r="B730" s="9">
        <f t="shared" ref="B730:B793" si="13">1-NORMSDIST(A730)</f>
        <v>6.4095298366007025E-4</v>
      </c>
    </row>
    <row r="731" spans="1:2" x14ac:dyDescent="0.25">
      <c r="A731" s="9">
        <v>3.23</v>
      </c>
      <c r="B731" s="9">
        <f t="shared" si="13"/>
        <v>6.1895109038678786E-4</v>
      </c>
    </row>
    <row r="732" spans="1:2" x14ac:dyDescent="0.25">
      <c r="A732" s="9">
        <v>3.24</v>
      </c>
      <c r="B732" s="9">
        <f t="shared" si="13"/>
        <v>5.976484979344221E-4</v>
      </c>
    </row>
    <row r="733" spans="1:2" x14ac:dyDescent="0.25">
      <c r="A733" s="9">
        <v>3.25</v>
      </c>
      <c r="B733" s="9">
        <f t="shared" si="13"/>
        <v>5.7702504239076635E-4</v>
      </c>
    </row>
    <row r="734" spans="1:2" x14ac:dyDescent="0.25">
      <c r="A734" s="9">
        <v>3.26</v>
      </c>
      <c r="B734" s="9">
        <f t="shared" si="13"/>
        <v>5.5706106902464469E-4</v>
      </c>
    </row>
    <row r="735" spans="1:2" x14ac:dyDescent="0.25">
      <c r="A735" s="9">
        <v>3.27</v>
      </c>
      <c r="B735" s="9">
        <f t="shared" si="13"/>
        <v>5.377374218297204E-4</v>
      </c>
    </row>
    <row r="736" spans="1:2" x14ac:dyDescent="0.25">
      <c r="A736" s="9">
        <v>3.28</v>
      </c>
      <c r="B736" s="9">
        <f t="shared" si="13"/>
        <v>5.1903543320697132E-4</v>
      </c>
    </row>
    <row r="737" spans="1:2" x14ac:dyDescent="0.25">
      <c r="A737" s="9">
        <v>3.29</v>
      </c>
      <c r="B737" s="9">
        <f t="shared" si="13"/>
        <v>5.0093691378572114E-4</v>
      </c>
    </row>
    <row r="738" spans="1:2" x14ac:dyDescent="0.25">
      <c r="A738" s="9">
        <v>3.3</v>
      </c>
      <c r="B738" s="9">
        <f t="shared" si="13"/>
        <v>4.8342414238378151E-4</v>
      </c>
    </row>
    <row r="739" spans="1:2" x14ac:dyDescent="0.25">
      <c r="A739" s="9">
        <v>3.31</v>
      </c>
      <c r="B739" s="9">
        <f t="shared" si="13"/>
        <v>4.6647985610759335E-4</v>
      </c>
    </row>
    <row r="740" spans="1:2" x14ac:dyDescent="0.25">
      <c r="A740" s="9">
        <v>3.32</v>
      </c>
      <c r="B740" s="9">
        <f t="shared" si="13"/>
        <v>4.5008724059214522E-4</v>
      </c>
    </row>
    <row r="741" spans="1:2" x14ac:dyDescent="0.25">
      <c r="A741" s="9">
        <v>3.33</v>
      </c>
      <c r="B741" s="9">
        <f t="shared" si="13"/>
        <v>4.3422992038166797E-4</v>
      </c>
    </row>
    <row r="742" spans="1:2" x14ac:dyDescent="0.25">
      <c r="A742" s="9">
        <v>3.34</v>
      </c>
      <c r="B742" s="9">
        <f t="shared" si="13"/>
        <v>4.1889194945032848E-4</v>
      </c>
    </row>
    <row r="743" spans="1:2" x14ac:dyDescent="0.25">
      <c r="A743" s="9">
        <v>3.35</v>
      </c>
      <c r="B743" s="9">
        <f t="shared" si="13"/>
        <v>4.0405780186403284E-4</v>
      </c>
    </row>
    <row r="744" spans="1:2" x14ac:dyDescent="0.25">
      <c r="A744" s="9">
        <v>3.36</v>
      </c>
      <c r="B744" s="9">
        <f t="shared" si="13"/>
        <v>3.8971236258200648E-4</v>
      </c>
    </row>
    <row r="745" spans="1:2" x14ac:dyDescent="0.25">
      <c r="A745" s="9">
        <v>3.37</v>
      </c>
      <c r="B745" s="9">
        <f t="shared" si="13"/>
        <v>3.7584091840003886E-4</v>
      </c>
    </row>
    <row r="746" spans="1:2" x14ac:dyDescent="0.25">
      <c r="A746" s="9">
        <v>3.38</v>
      </c>
      <c r="B746" s="9">
        <f t="shared" si="13"/>
        <v>3.6242914903306112E-4</v>
      </c>
    </row>
    <row r="747" spans="1:2" x14ac:dyDescent="0.25">
      <c r="A747" s="9">
        <v>3.39</v>
      </c>
      <c r="B747" s="9">
        <f t="shared" si="13"/>
        <v>3.4946311833794486E-4</v>
      </c>
    </row>
    <row r="748" spans="1:2" x14ac:dyDescent="0.25">
      <c r="A748" s="9">
        <v>3.4</v>
      </c>
      <c r="B748" s="9">
        <f t="shared" si="13"/>
        <v>3.3692926567685522E-4</v>
      </c>
    </row>
    <row r="749" spans="1:2" x14ac:dyDescent="0.25">
      <c r="A749" s="9">
        <v>3.41</v>
      </c>
      <c r="B749" s="9">
        <f t="shared" si="13"/>
        <v>3.2481439741882667E-4</v>
      </c>
    </row>
    <row r="750" spans="1:2" x14ac:dyDescent="0.25">
      <c r="A750" s="9">
        <v>3.42</v>
      </c>
      <c r="B750" s="9">
        <f t="shared" si="13"/>
        <v>3.1310567858122695E-4</v>
      </c>
    </row>
    <row r="751" spans="1:2" x14ac:dyDescent="0.25">
      <c r="A751" s="9">
        <v>3.43</v>
      </c>
      <c r="B751" s="9">
        <f t="shared" si="13"/>
        <v>3.0179062460866657E-4</v>
      </c>
    </row>
    <row r="752" spans="1:2" x14ac:dyDescent="0.25">
      <c r="A752" s="9">
        <v>3.44</v>
      </c>
      <c r="B752" s="9">
        <f t="shared" si="13"/>
        <v>2.9085709329079723E-4</v>
      </c>
    </row>
    <row r="753" spans="1:2" x14ac:dyDescent="0.25">
      <c r="A753" s="9">
        <v>3.45</v>
      </c>
      <c r="B753" s="9">
        <f t="shared" si="13"/>
        <v>2.8029327681622362E-4</v>
      </c>
    </row>
    <row r="754" spans="1:2" x14ac:dyDescent="0.25">
      <c r="A754" s="9">
        <v>3.46</v>
      </c>
      <c r="B754" s="9">
        <f t="shared" si="13"/>
        <v>2.7008769396352772E-4</v>
      </c>
    </row>
    <row r="755" spans="1:2" x14ac:dyDescent="0.25">
      <c r="A755" s="9">
        <v>3.47</v>
      </c>
      <c r="B755" s="9">
        <f t="shared" si="13"/>
        <v>2.6022918242751825E-4</v>
      </c>
    </row>
    <row r="756" spans="1:2" x14ac:dyDescent="0.25">
      <c r="A756" s="9">
        <v>3.48</v>
      </c>
      <c r="B756" s="9">
        <f t="shared" si="13"/>
        <v>2.5070689128048329E-4</v>
      </c>
    </row>
    <row r="757" spans="1:2" x14ac:dyDescent="0.25">
      <c r="A757" s="9">
        <v>3.49</v>
      </c>
      <c r="B757" s="9">
        <f t="shared" si="13"/>
        <v>2.415102735678909E-4</v>
      </c>
    </row>
    <row r="758" spans="1:2" x14ac:dyDescent="0.25">
      <c r="A758" s="9">
        <v>3.5</v>
      </c>
      <c r="B758" s="9">
        <f t="shared" si="13"/>
        <v>2.3262907903554009E-4</v>
      </c>
    </row>
    <row r="759" spans="1:2" x14ac:dyDescent="0.25">
      <c r="A759" s="9">
        <v>3.51</v>
      </c>
      <c r="B759" s="9">
        <f t="shared" si="13"/>
        <v>2.2405334699104884E-4</v>
      </c>
    </row>
    <row r="760" spans="1:2" x14ac:dyDescent="0.25">
      <c r="A760" s="9">
        <v>3.52</v>
      </c>
      <c r="B760" s="9">
        <f t="shared" si="13"/>
        <v>2.1577339929468309E-4</v>
      </c>
    </row>
    <row r="761" spans="1:2" x14ac:dyDescent="0.25">
      <c r="A761" s="9">
        <v>3.53</v>
      </c>
      <c r="B761" s="9">
        <f t="shared" si="13"/>
        <v>2.0777983348063689E-4</v>
      </c>
    </row>
    <row r="762" spans="1:2" x14ac:dyDescent="0.25">
      <c r="A762" s="9">
        <v>3.54</v>
      </c>
      <c r="B762" s="9">
        <f t="shared" si="13"/>
        <v>2.0006351600732053E-4</v>
      </c>
    </row>
    <row r="763" spans="1:2" x14ac:dyDescent="0.25">
      <c r="A763" s="9">
        <v>3.55</v>
      </c>
      <c r="B763" s="9">
        <f t="shared" si="13"/>
        <v>1.9261557563565734E-4</v>
      </c>
    </row>
    <row r="764" spans="1:2" x14ac:dyDescent="0.25">
      <c r="A764" s="9">
        <v>3.56</v>
      </c>
      <c r="B764" s="9">
        <f t="shared" si="13"/>
        <v>1.8542739693327981E-4</v>
      </c>
    </row>
    <row r="765" spans="1:2" x14ac:dyDescent="0.25">
      <c r="A765" s="9">
        <v>3.57</v>
      </c>
      <c r="B765" s="9">
        <f t="shared" si="13"/>
        <v>1.78490613904847E-4</v>
      </c>
    </row>
    <row r="766" spans="1:2" x14ac:dyDescent="0.25">
      <c r="A766" s="9">
        <v>3.58</v>
      </c>
      <c r="B766" s="9">
        <f t="shared" si="13"/>
        <v>1.7179710374592982E-4</v>
      </c>
    </row>
    <row r="767" spans="1:2" x14ac:dyDescent="0.25">
      <c r="A767" s="9">
        <v>3.59</v>
      </c>
      <c r="B767" s="9">
        <f t="shared" si="13"/>
        <v>1.6533898072013109E-4</v>
      </c>
    </row>
    <row r="768" spans="1:2" x14ac:dyDescent="0.25">
      <c r="A768" s="9">
        <v>3.6</v>
      </c>
      <c r="B768" s="9">
        <f t="shared" si="13"/>
        <v>1.5910859015755285E-4</v>
      </c>
    </row>
    <row r="769" spans="1:2" x14ac:dyDescent="0.25">
      <c r="A769" s="9">
        <v>3.61</v>
      </c>
      <c r="B769" s="9">
        <f t="shared" si="13"/>
        <v>1.5309850257372304E-4</v>
      </c>
    </row>
    <row r="770" spans="1:2" x14ac:dyDescent="0.25">
      <c r="A770" s="9">
        <v>3.62</v>
      </c>
      <c r="B770" s="9">
        <f t="shared" si="13"/>
        <v>1.4730150790742691E-4</v>
      </c>
    </row>
    <row r="771" spans="1:2" x14ac:dyDescent="0.25">
      <c r="A771" s="9">
        <v>3.63</v>
      </c>
      <c r="B771" s="9">
        <f t="shared" si="13"/>
        <v>1.417106098757781E-4</v>
      </c>
    </row>
    <row r="772" spans="1:2" x14ac:dyDescent="0.25">
      <c r="A772" s="9">
        <v>3.64</v>
      </c>
      <c r="B772" s="9">
        <f t="shared" si="13"/>
        <v>1.3631902044575206E-4</v>
      </c>
    </row>
    <row r="773" spans="1:2" x14ac:dyDescent="0.25">
      <c r="A773" s="9">
        <v>3.65</v>
      </c>
      <c r="B773" s="9">
        <f t="shared" si="13"/>
        <v>1.311201544205165E-4</v>
      </c>
    </row>
    <row r="774" spans="1:2" x14ac:dyDescent="0.25">
      <c r="A774" s="9">
        <v>3.66</v>
      </c>
      <c r="B774" s="9">
        <f t="shared" si="13"/>
        <v>1.2610762413844956E-4</v>
      </c>
    </row>
    <row r="775" spans="1:2" x14ac:dyDescent="0.25">
      <c r="A775" s="9">
        <v>3.67</v>
      </c>
      <c r="B775" s="9">
        <f t="shared" si="13"/>
        <v>1.2127523428540066E-4</v>
      </c>
    </row>
    <row r="776" spans="1:2" x14ac:dyDescent="0.25">
      <c r="A776" s="9">
        <v>3.68</v>
      </c>
      <c r="B776" s="9">
        <f t="shared" si="13"/>
        <v>1.1661697681542016E-4</v>
      </c>
    </row>
    <row r="777" spans="1:2" x14ac:dyDescent="0.25">
      <c r="A777" s="9">
        <v>3.69</v>
      </c>
      <c r="B777" s="9">
        <f t="shared" si="13"/>
        <v>1.121270259822893E-4</v>
      </c>
    </row>
    <row r="778" spans="1:2" x14ac:dyDescent="0.25">
      <c r="A778" s="9">
        <v>3.7</v>
      </c>
      <c r="B778" s="9">
        <f t="shared" si="13"/>
        <v>1.0779973347740945E-4</v>
      </c>
    </row>
    <row r="779" spans="1:2" x14ac:dyDescent="0.25">
      <c r="A779" s="9">
        <v>3.71</v>
      </c>
      <c r="B779" s="9">
        <f t="shared" si="13"/>
        <v>1.0362962367405082E-4</v>
      </c>
    </row>
    <row r="780" spans="1:2" x14ac:dyDescent="0.25">
      <c r="A780" s="9">
        <v>3.72</v>
      </c>
      <c r="B780" s="9">
        <f t="shared" si="13"/>
        <v>9.9611388975962001E-5</v>
      </c>
    </row>
    <row r="781" spans="1:2" x14ac:dyDescent="0.25">
      <c r="A781" s="9">
        <v>3.73</v>
      </c>
      <c r="B781" s="9">
        <f t="shared" si="13"/>
        <v>9.5739885268897318E-5</v>
      </c>
    </row>
    <row r="782" spans="1:2" x14ac:dyDescent="0.25">
      <c r="A782" s="9">
        <v>3.74</v>
      </c>
      <c r="B782" s="9">
        <f t="shared" si="13"/>
        <v>9.2010127474062564E-5</v>
      </c>
    </row>
    <row r="783" spans="1:2" x14ac:dyDescent="0.25">
      <c r="A783" s="9">
        <v>3.75</v>
      </c>
      <c r="B783" s="9">
        <f t="shared" si="13"/>
        <v>8.841728520081471E-5</v>
      </c>
    </row>
    <row r="784" spans="1:2" x14ac:dyDescent="0.25">
      <c r="A784" s="9">
        <v>3.76</v>
      </c>
      <c r="B784" s="9">
        <f t="shared" si="13"/>
        <v>8.4956678497949412E-5</v>
      </c>
    </row>
    <row r="785" spans="1:2" x14ac:dyDescent="0.25">
      <c r="A785" s="9">
        <v>3.77</v>
      </c>
      <c r="B785" s="9">
        <f t="shared" si="13"/>
        <v>8.162377370268814E-5</v>
      </c>
    </row>
    <row r="786" spans="1:2" x14ac:dyDescent="0.25">
      <c r="A786" s="9">
        <v>3.78</v>
      </c>
      <c r="B786" s="9">
        <f t="shared" si="13"/>
        <v>7.8414179383590188E-5</v>
      </c>
    </row>
    <row r="787" spans="1:2" x14ac:dyDescent="0.25">
      <c r="A787" s="9">
        <v>3.79</v>
      </c>
      <c r="B787" s="9">
        <f t="shared" si="13"/>
        <v>7.53236423787218E-5</v>
      </c>
    </row>
    <row r="788" spans="1:2" x14ac:dyDescent="0.25">
      <c r="A788" s="9">
        <v>3.8</v>
      </c>
      <c r="B788" s="9">
        <f t="shared" si="13"/>
        <v>7.2348043925085648E-5</v>
      </c>
    </row>
    <row r="789" spans="1:2" x14ac:dyDescent="0.25">
      <c r="A789" s="9">
        <v>3.81</v>
      </c>
      <c r="B789" s="9">
        <f t="shared" si="13"/>
        <v>6.9483395879865739E-5</v>
      </c>
    </row>
    <row r="790" spans="1:2" x14ac:dyDescent="0.25">
      <c r="A790" s="9">
        <v>3.82</v>
      </c>
      <c r="B790" s="9">
        <f t="shared" si="13"/>
        <v>6.672583702971302E-5</v>
      </c>
    </row>
    <row r="791" spans="1:2" x14ac:dyDescent="0.25">
      <c r="A791" s="9">
        <v>3.83</v>
      </c>
      <c r="B791" s="9">
        <f t="shared" si="13"/>
        <v>6.4071629488848814E-5</v>
      </c>
    </row>
    <row r="792" spans="1:2" x14ac:dyDescent="0.25">
      <c r="A792" s="9">
        <v>3.84</v>
      </c>
      <c r="B792" s="9">
        <f t="shared" si="13"/>
        <v>6.1517155183210548E-5</v>
      </c>
    </row>
    <row r="793" spans="1:2" x14ac:dyDescent="0.25">
      <c r="A793" s="9">
        <v>3.85</v>
      </c>
      <c r="B793" s="9">
        <f t="shared" si="13"/>
        <v>5.905891241897443E-5</v>
      </c>
    </row>
    <row r="794" spans="1:2" x14ac:dyDescent="0.25">
      <c r="A794" s="9">
        <v>3.86</v>
      </c>
      <c r="B794" s="9">
        <f>1-NORMSDIST(A794)</f>
        <v>5.6693512534233825E-5</v>
      </c>
    </row>
    <row r="795" spans="1:2" x14ac:dyDescent="0.25">
      <c r="A795" s="9">
        <v>3.87</v>
      </c>
      <c r="B795" s="9">
        <f>1-NORMSDIST(A795)</f>
        <v>5.4417676633722323E-5</v>
      </c>
    </row>
    <row r="796" spans="1:2" x14ac:dyDescent="0.25">
      <c r="A796" s="9">
        <v>3.88</v>
      </c>
      <c r="B796" s="9">
        <f>1-NORMSDIST(A796)</f>
        <v>5.2228232401807517E-5</v>
      </c>
    </row>
    <row r="797" spans="1:2" x14ac:dyDescent="0.25">
      <c r="A797" s="9">
        <v>3.89</v>
      </c>
      <c r="B797" s="9">
        <f>1-NORMSDIST(A797)</f>
        <v>5.012211099619801E-5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26"/>
  <sheetViews>
    <sheetView workbookViewId="0">
      <pane ySplit="1" topLeftCell="A2" activePane="bottomLeft" state="frozen"/>
      <selection pane="bottomLeft" activeCell="C6" sqref="C6"/>
    </sheetView>
  </sheetViews>
  <sheetFormatPr defaultColWidth="14.44140625" defaultRowHeight="12.75" customHeight="1" x14ac:dyDescent="0.25"/>
  <cols>
    <col min="1" max="1" width="14.44140625" style="8"/>
    <col min="2" max="2" width="26.109375" customWidth="1"/>
    <col min="3" max="3" width="24.21875" customWidth="1"/>
    <col min="4" max="4" width="10.88671875" customWidth="1"/>
    <col min="5" max="5" width="23.109375" customWidth="1"/>
    <col min="6" max="6" width="31" customWidth="1"/>
    <col min="7" max="7" width="24.5546875" customWidth="1"/>
  </cols>
  <sheetData>
    <row r="1" spans="1:7" ht="12.75" customHeight="1" x14ac:dyDescent="0.25">
      <c r="A1" s="7" t="s">
        <v>6</v>
      </c>
      <c r="B1" s="1" t="s">
        <v>0</v>
      </c>
      <c r="C1" s="1" t="s">
        <v>1</v>
      </c>
      <c r="E1" s="2">
        <f>AVERAGE(A:A)</f>
        <v>22.015916666666669</v>
      </c>
      <c r="F1" s="3">
        <f>AVERAGE(C:C)</f>
        <v>22.052933826388891</v>
      </c>
      <c r="G1" s="3">
        <f>SQRT(F1)</f>
        <v>4.6960551345133172</v>
      </c>
    </row>
    <row r="2" spans="1:7" ht="12.75" customHeight="1" x14ac:dyDescent="0.25">
      <c r="A2" s="7">
        <v>19.277999999999999</v>
      </c>
      <c r="B2" s="4">
        <f>ABS(A2-$E$1)</f>
        <v>2.7379166666666706</v>
      </c>
      <c r="C2" s="4">
        <f>POWER(B2,2)</f>
        <v>7.4961876736111321</v>
      </c>
      <c r="D2" s="5"/>
      <c r="E2" s="5"/>
      <c r="F2" s="5"/>
    </row>
    <row r="3" spans="1:7" ht="12.75" customHeight="1" x14ac:dyDescent="0.25">
      <c r="A3" s="7">
        <v>18.741</v>
      </c>
      <c r="B3" s="5">
        <f t="shared" ref="B3:B25" si="0">ABS(A3-$E$1)</f>
        <v>3.2749166666666696</v>
      </c>
      <c r="C3" s="5">
        <f t="shared" ref="C3:C25" si="1">POWER(B3,2)</f>
        <v>10.72507917361113</v>
      </c>
      <c r="D3" s="5"/>
      <c r="E3" s="5"/>
      <c r="F3" s="5"/>
    </row>
    <row r="4" spans="1:7" ht="12.75" customHeight="1" x14ac:dyDescent="0.25">
      <c r="A4" s="7">
        <v>21.213999999999999</v>
      </c>
      <c r="B4" s="5">
        <f t="shared" si="0"/>
        <v>0.80191666666667061</v>
      </c>
      <c r="C4" s="5">
        <f t="shared" si="1"/>
        <v>0.64307034027778409</v>
      </c>
      <c r="D4" s="5"/>
      <c r="E4" s="5"/>
      <c r="F4" s="5"/>
    </row>
    <row r="5" spans="1:7" ht="12.75" customHeight="1" x14ac:dyDescent="0.25">
      <c r="A5" s="7">
        <v>15.686999999999999</v>
      </c>
      <c r="B5" s="5">
        <f t="shared" si="0"/>
        <v>6.3289166666666699</v>
      </c>
      <c r="C5" s="5">
        <f t="shared" si="1"/>
        <v>40.055186173611155</v>
      </c>
      <c r="D5" s="5"/>
      <c r="E5" s="5"/>
      <c r="F5" s="5"/>
    </row>
    <row r="6" spans="1:7" ht="12.75" customHeight="1" x14ac:dyDescent="0.25">
      <c r="A6" s="7">
        <v>22.803000000000001</v>
      </c>
      <c r="B6" s="5">
        <f t="shared" si="0"/>
        <v>0.78708333333333158</v>
      </c>
      <c r="C6" s="5">
        <f t="shared" si="1"/>
        <v>0.61950017361110832</v>
      </c>
      <c r="D6" s="5"/>
      <c r="E6" s="5"/>
      <c r="F6" s="5"/>
    </row>
    <row r="7" spans="1:7" ht="12.75" customHeight="1" x14ac:dyDescent="0.25">
      <c r="A7" s="7">
        <v>20.878</v>
      </c>
      <c r="B7" s="5">
        <f t="shared" si="0"/>
        <v>1.1379166666666691</v>
      </c>
      <c r="C7" s="5">
        <f t="shared" si="1"/>
        <v>1.2948543402777835</v>
      </c>
      <c r="D7" s="5"/>
      <c r="E7" s="5"/>
      <c r="F7" s="5"/>
    </row>
    <row r="8" spans="1:7" ht="12.75" customHeight="1" x14ac:dyDescent="0.25">
      <c r="A8" s="7">
        <v>24.571999999999999</v>
      </c>
      <c r="B8" s="5">
        <f t="shared" si="0"/>
        <v>2.5560833333333299</v>
      </c>
      <c r="C8" s="5">
        <f t="shared" si="1"/>
        <v>6.5335620069444271</v>
      </c>
      <c r="D8" s="5"/>
      <c r="E8" s="5"/>
      <c r="F8" s="5"/>
    </row>
    <row r="9" spans="1:7" ht="12.75" customHeight="1" x14ac:dyDescent="0.25">
      <c r="A9" s="7">
        <v>17.393999999999998</v>
      </c>
      <c r="B9" s="5">
        <f t="shared" si="0"/>
        <v>4.6219166666666709</v>
      </c>
      <c r="C9" s="5">
        <f t="shared" si="1"/>
        <v>21.362113673611152</v>
      </c>
      <c r="D9" s="5"/>
      <c r="E9" s="5"/>
      <c r="F9" s="5"/>
    </row>
    <row r="10" spans="1:7" ht="12.75" customHeight="1" x14ac:dyDescent="0.25">
      <c r="A10" s="7">
        <v>20.762</v>
      </c>
      <c r="B10" s="5">
        <f t="shared" si="0"/>
        <v>1.2539166666666688</v>
      </c>
      <c r="C10" s="5">
        <f t="shared" si="1"/>
        <v>1.5723070069444498</v>
      </c>
      <c r="D10" s="5"/>
      <c r="E10" s="5"/>
      <c r="F10" s="5"/>
    </row>
    <row r="11" spans="1:7" ht="12.75" customHeight="1" x14ac:dyDescent="0.25">
      <c r="A11" s="7">
        <v>26.282</v>
      </c>
      <c r="B11" s="5">
        <f t="shared" si="0"/>
        <v>4.2660833333333308</v>
      </c>
      <c r="C11" s="5">
        <f t="shared" si="1"/>
        <v>18.199467006944424</v>
      </c>
      <c r="D11" s="5"/>
      <c r="E11" s="5"/>
      <c r="F11" s="5"/>
    </row>
    <row r="12" spans="1:7" ht="12.75" customHeight="1" x14ac:dyDescent="0.25">
      <c r="A12" s="7">
        <v>24.524000000000001</v>
      </c>
      <c r="B12" s="5">
        <f t="shared" si="0"/>
        <v>2.5080833333333317</v>
      </c>
      <c r="C12" s="5">
        <f t="shared" si="1"/>
        <v>6.290482006944436</v>
      </c>
      <c r="D12" s="5"/>
      <c r="E12" s="5"/>
      <c r="F12" s="5"/>
    </row>
    <row r="13" spans="1:7" ht="12.75" customHeight="1" x14ac:dyDescent="0.25">
      <c r="A13" s="7">
        <v>18.643999999999998</v>
      </c>
      <c r="B13" s="5">
        <f t="shared" si="0"/>
        <v>3.3719166666666709</v>
      </c>
      <c r="C13" s="5">
        <f t="shared" si="1"/>
        <v>11.369822006944473</v>
      </c>
      <c r="D13" s="5"/>
      <c r="E13" s="5"/>
      <c r="F13" s="5"/>
    </row>
    <row r="14" spans="1:7" ht="12.75" customHeight="1" x14ac:dyDescent="0.25">
      <c r="A14" s="7">
        <v>17.510000000000002</v>
      </c>
      <c r="B14" s="5">
        <f t="shared" si="0"/>
        <v>4.5059166666666677</v>
      </c>
      <c r="C14" s="5">
        <f t="shared" si="1"/>
        <v>20.303285006944453</v>
      </c>
      <c r="D14" s="5"/>
      <c r="E14" s="5"/>
      <c r="F14" s="5"/>
    </row>
    <row r="15" spans="1:7" ht="12.75" customHeight="1" x14ac:dyDescent="0.25">
      <c r="A15" s="7">
        <v>20.329999999999998</v>
      </c>
      <c r="B15" s="5">
        <f t="shared" si="0"/>
        <v>1.6859166666666709</v>
      </c>
      <c r="C15" s="5">
        <f t="shared" si="1"/>
        <v>2.8423150069444589</v>
      </c>
      <c r="D15" s="5"/>
      <c r="E15" s="5"/>
      <c r="F15" s="5"/>
    </row>
    <row r="16" spans="1:7" ht="12.75" customHeight="1" x14ac:dyDescent="0.25">
      <c r="A16" s="7">
        <v>35.255000000000003</v>
      </c>
      <c r="B16" s="5">
        <f t="shared" si="0"/>
        <v>13.239083333333333</v>
      </c>
      <c r="C16" s="5">
        <f t="shared" si="1"/>
        <v>175.27332750694444</v>
      </c>
      <c r="D16" s="5"/>
      <c r="E16" s="5"/>
      <c r="F16" s="5"/>
    </row>
    <row r="17" spans="1:6" ht="12.75" customHeight="1" x14ac:dyDescent="0.25">
      <c r="A17" s="7">
        <v>22.158000000000001</v>
      </c>
      <c r="B17" s="5">
        <f t="shared" si="0"/>
        <v>0.14208333333333201</v>
      </c>
      <c r="C17" s="5">
        <f t="shared" si="1"/>
        <v>2.0187673611110735E-2</v>
      </c>
      <c r="D17" s="5"/>
      <c r="E17" s="5"/>
      <c r="F17" s="5"/>
    </row>
    <row r="18" spans="1:6" ht="12.75" customHeight="1" x14ac:dyDescent="0.25">
      <c r="A18" s="7">
        <v>25.138999999999999</v>
      </c>
      <c r="B18" s="5">
        <f t="shared" si="0"/>
        <v>3.1230833333333301</v>
      </c>
      <c r="C18" s="5">
        <f t="shared" si="1"/>
        <v>9.7536495069444236</v>
      </c>
      <c r="D18" s="5"/>
      <c r="E18" s="5"/>
      <c r="F18" s="5"/>
    </row>
    <row r="19" spans="1:6" ht="12.75" customHeight="1" x14ac:dyDescent="0.25">
      <c r="A19" s="7">
        <v>20.428999999999998</v>
      </c>
      <c r="B19" s="5">
        <f t="shared" si="0"/>
        <v>1.5869166666666707</v>
      </c>
      <c r="C19" s="5">
        <f t="shared" si="1"/>
        <v>2.5183045069444576</v>
      </c>
      <c r="D19" s="5"/>
      <c r="E19" s="5"/>
      <c r="F19" s="5"/>
    </row>
    <row r="20" spans="1:6" ht="12.75" customHeight="1" x14ac:dyDescent="0.25">
      <c r="A20" s="7">
        <v>17.425000000000001</v>
      </c>
      <c r="B20" s="5">
        <f t="shared" si="0"/>
        <v>4.5909166666666685</v>
      </c>
      <c r="C20" s="5">
        <f t="shared" si="1"/>
        <v>21.076515840277796</v>
      </c>
      <c r="D20" s="5"/>
      <c r="E20" s="5"/>
      <c r="F20" s="5"/>
    </row>
    <row r="21" spans="1:6" ht="12.75" customHeight="1" x14ac:dyDescent="0.25">
      <c r="A21" s="7">
        <v>34.287999999999997</v>
      </c>
      <c r="B21" s="5">
        <f t="shared" si="0"/>
        <v>12.272083333333327</v>
      </c>
      <c r="C21" s="5">
        <f t="shared" si="1"/>
        <v>150.60402934027763</v>
      </c>
      <c r="D21" s="5"/>
      <c r="E21" s="5"/>
      <c r="F21" s="5"/>
    </row>
    <row r="22" spans="1:6" ht="12.75" customHeight="1" x14ac:dyDescent="0.25">
      <c r="A22" s="7">
        <v>23.893999999999998</v>
      </c>
      <c r="B22" s="5">
        <f t="shared" si="0"/>
        <v>1.8780833333333291</v>
      </c>
      <c r="C22" s="5">
        <f t="shared" si="1"/>
        <v>3.5271970069444287</v>
      </c>
      <c r="D22" s="5"/>
      <c r="E22" s="5"/>
      <c r="F22" s="5"/>
    </row>
    <row r="23" spans="1:6" ht="12.75" customHeight="1" x14ac:dyDescent="0.25">
      <c r="A23" s="7">
        <v>17.96</v>
      </c>
      <c r="B23" s="5">
        <f t="shared" si="0"/>
        <v>4.0559166666666684</v>
      </c>
      <c r="C23" s="5">
        <f t="shared" si="1"/>
        <v>16.450460006944457</v>
      </c>
      <c r="D23" s="5"/>
      <c r="E23" s="5"/>
      <c r="F23" s="5"/>
    </row>
    <row r="24" spans="1:6" ht="12.75" customHeight="1" x14ac:dyDescent="0.25">
      <c r="A24" s="7">
        <v>22.058</v>
      </c>
      <c r="B24" s="5">
        <f t="shared" si="0"/>
        <v>4.2083333333330586E-2</v>
      </c>
      <c r="C24" s="5">
        <f t="shared" si="1"/>
        <v>1.7710069444442133E-3</v>
      </c>
      <c r="D24" s="5"/>
      <c r="E24" s="5"/>
      <c r="F24" s="5"/>
    </row>
    <row r="25" spans="1:6" ht="12.75" customHeight="1" x14ac:dyDescent="0.25">
      <c r="A25" s="7">
        <v>21.157</v>
      </c>
      <c r="B25" s="5">
        <f t="shared" si="0"/>
        <v>0.85891666666666922</v>
      </c>
      <c r="C25" s="5">
        <f t="shared" si="1"/>
        <v>0.73773784027778211</v>
      </c>
      <c r="D25" s="5"/>
      <c r="E25" s="5"/>
      <c r="F25" s="5"/>
    </row>
    <row r="26" spans="1:6" ht="12.75" customHeight="1" x14ac:dyDescent="0.25">
      <c r="B26" s="5"/>
      <c r="C26" s="5"/>
      <c r="D26" s="5"/>
      <c r="E26" s="5"/>
      <c r="F26" s="5"/>
    </row>
    <row r="27" spans="1:6" ht="12.75" customHeight="1" x14ac:dyDescent="0.25">
      <c r="B27" s="5"/>
      <c r="C27" s="5"/>
      <c r="D27" s="5"/>
      <c r="E27" s="5"/>
      <c r="F27" s="5"/>
    </row>
    <row r="28" spans="1:6" ht="12.75" customHeight="1" x14ac:dyDescent="0.25">
      <c r="B28" s="5"/>
      <c r="C28" s="5"/>
      <c r="D28" s="5"/>
      <c r="E28" s="5"/>
      <c r="F28" s="5"/>
    </row>
    <row r="29" spans="1:6" ht="12.75" customHeight="1" x14ac:dyDescent="0.25">
      <c r="B29" s="5"/>
      <c r="C29" s="5"/>
      <c r="D29" s="5"/>
      <c r="E29" s="5"/>
      <c r="F29" s="5"/>
    </row>
    <row r="30" spans="1:6" ht="12.75" customHeight="1" x14ac:dyDescent="0.25">
      <c r="B30" s="5"/>
      <c r="C30" s="5"/>
      <c r="D30" s="5"/>
      <c r="E30" s="5"/>
      <c r="F30" s="5"/>
    </row>
    <row r="31" spans="1:6" ht="12.75" customHeight="1" x14ac:dyDescent="0.25">
      <c r="B31" s="5"/>
      <c r="C31" s="5"/>
      <c r="D31" s="5"/>
      <c r="E31" s="5"/>
      <c r="F31" s="5"/>
    </row>
    <row r="32" spans="1:6" ht="12.75" customHeight="1" x14ac:dyDescent="0.25">
      <c r="B32" s="5"/>
      <c r="C32" s="5"/>
      <c r="D32" s="5"/>
      <c r="E32" s="5"/>
      <c r="F32" s="5"/>
    </row>
    <row r="33" spans="2:6" ht="12.75" customHeight="1" x14ac:dyDescent="0.25">
      <c r="B33" s="5"/>
      <c r="C33" s="5"/>
      <c r="D33" s="5"/>
      <c r="E33" s="5"/>
      <c r="F33" s="5"/>
    </row>
    <row r="34" spans="2:6" ht="12.75" customHeight="1" x14ac:dyDescent="0.25">
      <c r="B34" s="5"/>
      <c r="C34" s="5"/>
      <c r="D34" s="5"/>
      <c r="E34" s="5"/>
      <c r="F34" s="5"/>
    </row>
    <row r="35" spans="2:6" ht="12.75" customHeight="1" x14ac:dyDescent="0.25">
      <c r="B35" s="5"/>
      <c r="C35" s="5"/>
      <c r="D35" s="5"/>
      <c r="E35" s="5"/>
      <c r="F35" s="5"/>
    </row>
    <row r="36" spans="2:6" ht="12.75" customHeight="1" x14ac:dyDescent="0.25">
      <c r="B36" s="5"/>
      <c r="C36" s="5"/>
      <c r="D36" s="5"/>
      <c r="E36" s="5"/>
      <c r="F36" s="5"/>
    </row>
    <row r="37" spans="2:6" ht="12.75" customHeight="1" x14ac:dyDescent="0.25">
      <c r="B37" s="5"/>
      <c r="C37" s="5"/>
      <c r="D37" s="5"/>
      <c r="E37" s="5"/>
      <c r="F37" s="5"/>
    </row>
    <row r="38" spans="2:6" ht="12.75" customHeight="1" x14ac:dyDescent="0.25">
      <c r="B38" s="5"/>
      <c r="C38" s="5"/>
      <c r="D38" s="5"/>
      <c r="E38" s="5"/>
      <c r="F38" s="5"/>
    </row>
    <row r="39" spans="2:6" ht="12.75" customHeight="1" x14ac:dyDescent="0.25">
      <c r="B39" s="5"/>
      <c r="C39" s="5"/>
      <c r="D39" s="5"/>
      <c r="E39" s="5"/>
      <c r="F39" s="5"/>
    </row>
    <row r="40" spans="2:6" ht="12.75" customHeight="1" x14ac:dyDescent="0.25">
      <c r="B40" s="5"/>
      <c r="C40" s="5"/>
      <c r="D40" s="5"/>
      <c r="E40" s="5"/>
      <c r="F40" s="5"/>
    </row>
    <row r="41" spans="2:6" ht="12.75" customHeight="1" x14ac:dyDescent="0.25">
      <c r="B41" s="5"/>
      <c r="C41" s="5"/>
      <c r="D41" s="5"/>
      <c r="E41" s="5"/>
      <c r="F41" s="5"/>
    </row>
    <row r="42" spans="2:6" ht="12.75" customHeight="1" x14ac:dyDescent="0.25">
      <c r="B42" s="5"/>
      <c r="C42" s="5"/>
      <c r="D42" s="5"/>
      <c r="E42" s="5"/>
      <c r="F42" s="5"/>
    </row>
    <row r="43" spans="2:6" ht="12.75" customHeight="1" x14ac:dyDescent="0.25">
      <c r="B43" s="5"/>
      <c r="C43" s="5"/>
      <c r="D43" s="5"/>
      <c r="E43" s="5"/>
      <c r="F43" s="5"/>
    </row>
    <row r="44" spans="2:6" ht="13.2" x14ac:dyDescent="0.25">
      <c r="B44" s="5"/>
      <c r="C44" s="5"/>
      <c r="D44" s="5"/>
      <c r="E44" s="5"/>
      <c r="F44" s="5"/>
    </row>
    <row r="45" spans="2:6" ht="13.2" x14ac:dyDescent="0.25">
      <c r="B45" s="5"/>
      <c r="C45" s="5"/>
      <c r="D45" s="5"/>
      <c r="E45" s="5"/>
      <c r="F45" s="5"/>
    </row>
    <row r="46" spans="2:6" ht="13.2" x14ac:dyDescent="0.25">
      <c r="B46" s="5"/>
      <c r="C46" s="5"/>
      <c r="D46" s="5"/>
      <c r="E46" s="5"/>
      <c r="F46" s="5"/>
    </row>
    <row r="47" spans="2:6" ht="13.2" x14ac:dyDescent="0.25">
      <c r="B47" s="5"/>
      <c r="C47" s="5"/>
      <c r="D47" s="5"/>
      <c r="E47" s="5"/>
      <c r="F47" s="5"/>
    </row>
    <row r="48" spans="2:6" ht="13.2" x14ac:dyDescent="0.25">
      <c r="B48" s="5"/>
      <c r="C48" s="5"/>
      <c r="D48" s="5"/>
      <c r="E48" s="5"/>
      <c r="F48" s="5"/>
    </row>
    <row r="49" spans="2:6" ht="13.2" x14ac:dyDescent="0.25">
      <c r="B49" s="5"/>
      <c r="C49" s="5"/>
      <c r="D49" s="5"/>
      <c r="E49" s="5"/>
      <c r="F49" s="5"/>
    </row>
    <row r="50" spans="2:6" ht="13.2" x14ac:dyDescent="0.25">
      <c r="B50" s="5"/>
      <c r="C50" s="5"/>
      <c r="D50" s="5"/>
      <c r="E50" s="5"/>
      <c r="F50" s="5"/>
    </row>
    <row r="51" spans="2:6" ht="13.2" x14ac:dyDescent="0.25">
      <c r="B51" s="5"/>
      <c r="C51" s="5"/>
      <c r="D51" s="5"/>
      <c r="E51" s="5"/>
      <c r="F51" s="5"/>
    </row>
    <row r="52" spans="2:6" ht="13.2" x14ac:dyDescent="0.25">
      <c r="B52" s="5"/>
      <c r="C52" s="5"/>
      <c r="D52" s="5"/>
      <c r="E52" s="5"/>
      <c r="F52" s="5"/>
    </row>
    <row r="53" spans="2:6" ht="13.2" x14ac:dyDescent="0.25">
      <c r="B53" s="5"/>
      <c r="C53" s="5"/>
      <c r="D53" s="5"/>
      <c r="E53" s="5"/>
      <c r="F53" s="5"/>
    </row>
    <row r="54" spans="2:6" ht="13.2" x14ac:dyDescent="0.25">
      <c r="B54" s="5"/>
      <c r="C54" s="5"/>
      <c r="D54" s="5"/>
      <c r="E54" s="5"/>
      <c r="F54" s="5"/>
    </row>
    <row r="55" spans="2:6" ht="13.2" x14ac:dyDescent="0.25">
      <c r="B55" s="5"/>
      <c r="C55" s="5"/>
      <c r="D55" s="5"/>
      <c r="E55" s="5"/>
      <c r="F55" s="5"/>
    </row>
    <row r="56" spans="2:6" ht="13.2" x14ac:dyDescent="0.25">
      <c r="B56" s="5"/>
      <c r="C56" s="5"/>
      <c r="D56" s="5"/>
      <c r="E56" s="5"/>
      <c r="F56" s="5"/>
    </row>
    <row r="57" spans="2:6" ht="13.2" x14ac:dyDescent="0.25">
      <c r="B57" s="5"/>
      <c r="C57" s="5"/>
      <c r="D57" s="5"/>
      <c r="E57" s="5"/>
      <c r="F57" s="5"/>
    </row>
    <row r="58" spans="2:6" ht="13.2" x14ac:dyDescent="0.25">
      <c r="B58" s="5"/>
      <c r="C58" s="5"/>
      <c r="D58" s="5"/>
      <c r="E58" s="5"/>
      <c r="F58" s="5"/>
    </row>
    <row r="59" spans="2:6" ht="13.2" x14ac:dyDescent="0.25">
      <c r="B59" s="5"/>
      <c r="C59" s="5"/>
      <c r="D59" s="5"/>
      <c r="E59" s="5"/>
      <c r="F59" s="5"/>
    </row>
    <row r="60" spans="2:6" ht="13.2" x14ac:dyDescent="0.25">
      <c r="B60" s="5"/>
      <c r="C60" s="5"/>
      <c r="D60" s="5"/>
      <c r="E60" s="5"/>
      <c r="F60" s="5"/>
    </row>
    <row r="61" spans="2:6" ht="13.2" x14ac:dyDescent="0.25">
      <c r="B61" s="5"/>
      <c r="C61" s="5"/>
      <c r="D61" s="5"/>
      <c r="E61" s="5"/>
      <c r="F61" s="5"/>
    </row>
    <row r="62" spans="2:6" ht="13.2" x14ac:dyDescent="0.25">
      <c r="B62" s="5"/>
      <c r="C62" s="5"/>
      <c r="D62" s="5"/>
      <c r="E62" s="5"/>
      <c r="F62" s="5"/>
    </row>
    <row r="63" spans="2:6" ht="13.2" x14ac:dyDescent="0.25">
      <c r="B63" s="5"/>
      <c r="C63" s="5"/>
      <c r="D63" s="5"/>
      <c r="E63" s="5"/>
      <c r="F63" s="5"/>
    </row>
    <row r="64" spans="2:6" ht="13.2" x14ac:dyDescent="0.25">
      <c r="B64" s="5"/>
      <c r="C64" s="5"/>
      <c r="D64" s="5"/>
      <c r="E64" s="5"/>
      <c r="F64" s="5"/>
    </row>
    <row r="65" spans="2:6" ht="13.2" x14ac:dyDescent="0.25">
      <c r="B65" s="5"/>
      <c r="C65" s="5"/>
      <c r="D65" s="5"/>
      <c r="E65" s="5"/>
      <c r="F65" s="5"/>
    </row>
    <row r="66" spans="2:6" ht="13.2" x14ac:dyDescent="0.25">
      <c r="B66" s="5"/>
      <c r="C66" s="5"/>
      <c r="D66" s="5"/>
      <c r="E66" s="5"/>
      <c r="F66" s="5"/>
    </row>
    <row r="67" spans="2:6" ht="13.2" x14ac:dyDescent="0.25">
      <c r="B67" s="5"/>
      <c r="C67" s="5"/>
      <c r="D67" s="5"/>
      <c r="E67" s="5"/>
      <c r="F67" s="5"/>
    </row>
    <row r="68" spans="2:6" ht="13.2" x14ac:dyDescent="0.25">
      <c r="B68" s="5"/>
      <c r="C68" s="5"/>
      <c r="D68" s="5"/>
      <c r="E68" s="5"/>
      <c r="F68" s="5"/>
    </row>
    <row r="69" spans="2:6" ht="13.2" x14ac:dyDescent="0.25">
      <c r="B69" s="5"/>
      <c r="C69" s="5"/>
      <c r="D69" s="5"/>
      <c r="E69" s="5"/>
      <c r="F69" s="5"/>
    </row>
    <row r="70" spans="2:6" ht="13.2" x14ac:dyDescent="0.25">
      <c r="B70" s="5"/>
      <c r="C70" s="5"/>
      <c r="D70" s="5"/>
      <c r="E70" s="5"/>
      <c r="F70" s="5"/>
    </row>
    <row r="71" spans="2:6" ht="13.2" x14ac:dyDescent="0.25">
      <c r="B71" s="5"/>
      <c r="C71" s="5"/>
      <c r="D71" s="5"/>
      <c r="E71" s="5"/>
      <c r="F71" s="5"/>
    </row>
    <row r="72" spans="2:6" ht="13.2" x14ac:dyDescent="0.25">
      <c r="B72" s="5"/>
      <c r="C72" s="5"/>
      <c r="D72" s="5"/>
      <c r="E72" s="5"/>
      <c r="F72" s="5"/>
    </row>
    <row r="73" spans="2:6" ht="13.2" x14ac:dyDescent="0.25">
      <c r="B73" s="5"/>
      <c r="C73" s="5"/>
      <c r="D73" s="5"/>
      <c r="E73" s="5"/>
      <c r="F73" s="5"/>
    </row>
    <row r="74" spans="2:6" ht="13.2" x14ac:dyDescent="0.25">
      <c r="B74" s="5"/>
      <c r="C74" s="5"/>
      <c r="D74" s="5"/>
      <c r="E74" s="5"/>
      <c r="F74" s="5"/>
    </row>
    <row r="75" spans="2:6" ht="13.2" x14ac:dyDescent="0.25">
      <c r="B75" s="5"/>
      <c r="C75" s="5"/>
      <c r="D75" s="5"/>
      <c r="E75" s="5"/>
      <c r="F75" s="5"/>
    </row>
    <row r="76" spans="2:6" ht="13.2" x14ac:dyDescent="0.25">
      <c r="B76" s="5"/>
      <c r="C76" s="5"/>
      <c r="D76" s="5"/>
      <c r="E76" s="5"/>
      <c r="F76" s="5"/>
    </row>
    <row r="77" spans="2:6" ht="13.2" x14ac:dyDescent="0.25">
      <c r="B77" s="5"/>
      <c r="C77" s="5"/>
      <c r="D77" s="5"/>
      <c r="E77" s="5"/>
      <c r="F77" s="5"/>
    </row>
    <row r="78" spans="2:6" ht="13.2" x14ac:dyDescent="0.25">
      <c r="B78" s="5"/>
      <c r="C78" s="5"/>
      <c r="D78" s="5"/>
      <c r="E78" s="5"/>
      <c r="F78" s="5"/>
    </row>
    <row r="79" spans="2:6" ht="13.2" x14ac:dyDescent="0.25">
      <c r="B79" s="5"/>
      <c r="C79" s="5"/>
      <c r="D79" s="5"/>
      <c r="E79" s="5"/>
      <c r="F79" s="5"/>
    </row>
    <row r="80" spans="2:6" ht="13.2" x14ac:dyDescent="0.25">
      <c r="B80" s="5"/>
      <c r="C80" s="5"/>
      <c r="D80" s="5"/>
      <c r="E80" s="5"/>
      <c r="F80" s="5"/>
    </row>
    <row r="81" spans="2:6" ht="13.2" x14ac:dyDescent="0.25">
      <c r="B81" s="5"/>
      <c r="C81" s="5"/>
      <c r="D81" s="5"/>
      <c r="E81" s="5"/>
      <c r="F81" s="5"/>
    </row>
    <row r="82" spans="2:6" ht="13.2" x14ac:dyDescent="0.25">
      <c r="B82" s="5"/>
      <c r="C82" s="5"/>
      <c r="D82" s="5"/>
      <c r="E82" s="5"/>
      <c r="F82" s="5"/>
    </row>
    <row r="83" spans="2:6" ht="13.2" x14ac:dyDescent="0.25">
      <c r="B83" s="5"/>
      <c r="C83" s="5"/>
      <c r="D83" s="5"/>
      <c r="E83" s="5"/>
      <c r="F83" s="5"/>
    </row>
    <row r="84" spans="2:6" ht="13.2" x14ac:dyDescent="0.25">
      <c r="B84" s="5"/>
      <c r="C84" s="5"/>
      <c r="D84" s="5"/>
      <c r="E84" s="5"/>
      <c r="F84" s="5"/>
    </row>
    <row r="85" spans="2:6" ht="13.2" x14ac:dyDescent="0.25">
      <c r="B85" s="5"/>
      <c r="C85" s="5"/>
      <c r="D85" s="5"/>
      <c r="E85" s="5"/>
      <c r="F85" s="5"/>
    </row>
    <row r="86" spans="2:6" ht="13.2" x14ac:dyDescent="0.25">
      <c r="B86" s="5"/>
      <c r="C86" s="5"/>
      <c r="D86" s="5"/>
      <c r="E86" s="5"/>
      <c r="F86" s="5"/>
    </row>
    <row r="87" spans="2:6" ht="13.2" x14ac:dyDescent="0.25">
      <c r="B87" s="5"/>
      <c r="C87" s="5"/>
      <c r="D87" s="5"/>
      <c r="E87" s="5"/>
      <c r="F87" s="5"/>
    </row>
    <row r="88" spans="2:6" ht="13.2" x14ac:dyDescent="0.25">
      <c r="B88" s="5"/>
      <c r="C88" s="5"/>
      <c r="D88" s="5"/>
      <c r="E88" s="5"/>
      <c r="F88" s="5"/>
    </row>
    <row r="89" spans="2:6" ht="13.2" x14ac:dyDescent="0.25">
      <c r="B89" s="5"/>
      <c r="C89" s="5"/>
      <c r="D89" s="5"/>
      <c r="E89" s="5"/>
      <c r="F89" s="5"/>
    </row>
    <row r="90" spans="2:6" ht="13.2" x14ac:dyDescent="0.25">
      <c r="B90" s="5"/>
      <c r="C90" s="5"/>
      <c r="D90" s="5"/>
      <c r="E90" s="5"/>
      <c r="F90" s="5"/>
    </row>
    <row r="91" spans="2:6" ht="13.2" x14ac:dyDescent="0.25">
      <c r="B91" s="5"/>
      <c r="C91" s="5"/>
      <c r="D91" s="5"/>
      <c r="E91" s="5"/>
      <c r="F91" s="5"/>
    </row>
    <row r="92" spans="2:6" ht="13.2" x14ac:dyDescent="0.25">
      <c r="B92" s="5"/>
      <c r="C92" s="5"/>
      <c r="D92" s="5"/>
      <c r="E92" s="5"/>
      <c r="F92" s="5"/>
    </row>
    <row r="93" spans="2:6" ht="13.2" x14ac:dyDescent="0.25">
      <c r="B93" s="5"/>
      <c r="C93" s="5"/>
      <c r="D93" s="5"/>
      <c r="E93" s="5"/>
      <c r="F93" s="5"/>
    </row>
    <row r="94" spans="2:6" ht="13.2" x14ac:dyDescent="0.25">
      <c r="B94" s="5"/>
      <c r="C94" s="5"/>
      <c r="D94" s="5"/>
      <c r="E94" s="5"/>
      <c r="F94" s="5"/>
    </row>
    <row r="95" spans="2:6" ht="13.2" x14ac:dyDescent="0.25">
      <c r="B95" s="5"/>
      <c r="C95" s="5"/>
      <c r="D95" s="5"/>
      <c r="E95" s="5"/>
      <c r="F95" s="5"/>
    </row>
    <row r="96" spans="2:6" ht="13.2" x14ac:dyDescent="0.25">
      <c r="B96" s="5"/>
      <c r="C96" s="5"/>
      <c r="D96" s="5"/>
      <c r="E96" s="5"/>
      <c r="F96" s="5"/>
    </row>
    <row r="97" spans="2:6" ht="13.2" x14ac:dyDescent="0.25">
      <c r="B97" s="5"/>
      <c r="C97" s="5"/>
      <c r="D97" s="5"/>
      <c r="E97" s="5"/>
      <c r="F97" s="5"/>
    </row>
    <row r="98" spans="2:6" ht="13.2" x14ac:dyDescent="0.25">
      <c r="B98" s="5"/>
      <c r="C98" s="5"/>
      <c r="D98" s="5"/>
      <c r="E98" s="5"/>
      <c r="F98" s="5"/>
    </row>
    <row r="99" spans="2:6" ht="13.2" x14ac:dyDescent="0.25">
      <c r="B99" s="5"/>
      <c r="C99" s="5"/>
      <c r="D99" s="5"/>
      <c r="E99" s="5"/>
      <c r="F99" s="5"/>
    </row>
    <row r="100" spans="2:6" ht="13.2" x14ac:dyDescent="0.25">
      <c r="B100" s="5"/>
      <c r="C100" s="5"/>
      <c r="D100" s="5"/>
      <c r="E100" s="5"/>
      <c r="F100" s="5"/>
    </row>
    <row r="101" spans="2:6" ht="13.2" x14ac:dyDescent="0.25">
      <c r="B101" s="5"/>
      <c r="C101" s="5"/>
      <c r="D101" s="5"/>
      <c r="E101" s="5"/>
      <c r="F101" s="5"/>
    </row>
    <row r="102" spans="2:6" ht="12.75" customHeight="1" x14ac:dyDescent="0.25">
      <c r="B102" s="5"/>
      <c r="C102" s="5"/>
    </row>
    <row r="103" spans="2:6" ht="12.75" customHeight="1" x14ac:dyDescent="0.25">
      <c r="B103" s="5"/>
      <c r="C103" s="5"/>
    </row>
    <row r="104" spans="2:6" ht="12.75" customHeight="1" x14ac:dyDescent="0.25">
      <c r="B104" s="5"/>
      <c r="C104" s="5"/>
    </row>
    <row r="105" spans="2:6" ht="12.75" customHeight="1" x14ac:dyDescent="0.25">
      <c r="B105" s="5"/>
      <c r="C105" s="5"/>
    </row>
    <row r="106" spans="2:6" ht="12.75" customHeight="1" x14ac:dyDescent="0.25">
      <c r="B106" s="5"/>
      <c r="C106" s="5"/>
    </row>
    <row r="107" spans="2:6" ht="12.75" customHeight="1" x14ac:dyDescent="0.25">
      <c r="B107" s="5"/>
      <c r="C107" s="5"/>
    </row>
    <row r="108" spans="2:6" ht="12.75" customHeight="1" x14ac:dyDescent="0.25">
      <c r="B108" s="5"/>
      <c r="C108" s="5"/>
    </row>
    <row r="109" spans="2:6" ht="12.75" customHeight="1" x14ac:dyDescent="0.25">
      <c r="B109" s="5"/>
      <c r="C109" s="5"/>
    </row>
    <row r="110" spans="2:6" ht="12.75" customHeight="1" x14ac:dyDescent="0.25">
      <c r="B110" s="5"/>
      <c r="C110" s="5"/>
    </row>
    <row r="111" spans="2:6" ht="12.75" customHeight="1" x14ac:dyDescent="0.25">
      <c r="B111" s="5"/>
      <c r="C111" s="5"/>
    </row>
    <row r="112" spans="2:6" ht="12.75" customHeight="1" x14ac:dyDescent="0.25">
      <c r="B112" s="5"/>
      <c r="C112" s="5"/>
    </row>
    <row r="113" spans="2:3" ht="12.75" customHeight="1" x14ac:dyDescent="0.25">
      <c r="B113" s="5"/>
      <c r="C113" s="5"/>
    </row>
    <row r="114" spans="2:3" ht="12.75" customHeight="1" x14ac:dyDescent="0.25">
      <c r="B114" s="5"/>
      <c r="C114" s="5"/>
    </row>
    <row r="115" spans="2:3" ht="12.75" customHeight="1" x14ac:dyDescent="0.25">
      <c r="B115" s="5"/>
      <c r="C115" s="5"/>
    </row>
    <row r="116" spans="2:3" ht="12.75" customHeight="1" x14ac:dyDescent="0.25">
      <c r="B116" s="5"/>
      <c r="C116" s="5"/>
    </row>
    <row r="117" spans="2:3" ht="12.75" customHeight="1" x14ac:dyDescent="0.25">
      <c r="B117" s="5"/>
      <c r="C117" s="5"/>
    </row>
    <row r="118" spans="2:3" ht="12.75" customHeight="1" x14ac:dyDescent="0.25">
      <c r="B118" s="5"/>
      <c r="C118" s="5"/>
    </row>
    <row r="119" spans="2:3" ht="12.75" customHeight="1" x14ac:dyDescent="0.25">
      <c r="B119" s="5"/>
      <c r="C119" s="5"/>
    </row>
    <row r="120" spans="2:3" ht="12.75" customHeight="1" x14ac:dyDescent="0.25">
      <c r="B120" s="5"/>
      <c r="C120" s="5"/>
    </row>
    <row r="121" spans="2:3" ht="12.75" customHeight="1" x14ac:dyDescent="0.25">
      <c r="B121" s="5"/>
      <c r="C121" s="5"/>
    </row>
    <row r="122" spans="2:3" ht="12.75" customHeight="1" x14ac:dyDescent="0.25">
      <c r="B122" s="5"/>
      <c r="C122" s="5"/>
    </row>
    <row r="123" spans="2:3" ht="12.75" customHeight="1" x14ac:dyDescent="0.25">
      <c r="B123" s="5"/>
      <c r="C123" s="5"/>
    </row>
    <row r="124" spans="2:3" ht="12.75" customHeight="1" x14ac:dyDescent="0.25">
      <c r="B124" s="5"/>
      <c r="C124" s="5"/>
    </row>
    <row r="125" spans="2:3" ht="12.75" customHeight="1" x14ac:dyDescent="0.25">
      <c r="B125" s="5"/>
      <c r="C125" s="5"/>
    </row>
    <row r="126" spans="2:3" ht="12.75" customHeight="1" x14ac:dyDescent="0.25">
      <c r="B126" s="5"/>
      <c r="C126" s="5"/>
    </row>
    <row r="127" spans="2:3" ht="12.75" customHeight="1" x14ac:dyDescent="0.25">
      <c r="B127" s="5"/>
      <c r="C127" s="5"/>
    </row>
    <row r="128" spans="2:3" ht="12.75" customHeight="1" x14ac:dyDescent="0.25">
      <c r="B128" s="5"/>
      <c r="C128" s="5"/>
    </row>
    <row r="129" spans="2:3" ht="12.75" customHeight="1" x14ac:dyDescent="0.25">
      <c r="B129" s="5"/>
      <c r="C129" s="5"/>
    </row>
    <row r="130" spans="2:3" ht="12.75" customHeight="1" x14ac:dyDescent="0.25">
      <c r="B130" s="5"/>
      <c r="C130" s="5"/>
    </row>
    <row r="131" spans="2:3" ht="12.75" customHeight="1" x14ac:dyDescent="0.25">
      <c r="B131" s="5"/>
      <c r="C131" s="5"/>
    </row>
    <row r="132" spans="2:3" ht="12.75" customHeight="1" x14ac:dyDescent="0.25">
      <c r="B132" s="5"/>
      <c r="C132" s="5"/>
    </row>
    <row r="133" spans="2:3" ht="12.75" customHeight="1" x14ac:dyDescent="0.25">
      <c r="B133" s="5"/>
      <c r="C133" s="5"/>
    </row>
    <row r="134" spans="2:3" ht="12.75" customHeight="1" x14ac:dyDescent="0.25">
      <c r="B134" s="5"/>
      <c r="C134" s="5"/>
    </row>
    <row r="135" spans="2:3" ht="12.75" customHeight="1" x14ac:dyDescent="0.25">
      <c r="B135" s="5"/>
      <c r="C135" s="5"/>
    </row>
    <row r="136" spans="2:3" ht="12.75" customHeight="1" x14ac:dyDescent="0.25">
      <c r="B136" s="5"/>
      <c r="C136" s="5"/>
    </row>
    <row r="137" spans="2:3" ht="12.75" customHeight="1" x14ac:dyDescent="0.25">
      <c r="B137" s="5"/>
      <c r="C137" s="5"/>
    </row>
    <row r="138" spans="2:3" ht="12.75" customHeight="1" x14ac:dyDescent="0.25">
      <c r="B138" s="5"/>
      <c r="C138" s="5"/>
    </row>
    <row r="139" spans="2:3" ht="12.75" customHeight="1" x14ac:dyDescent="0.25">
      <c r="B139" s="5"/>
      <c r="C139" s="5"/>
    </row>
    <row r="140" spans="2:3" ht="12.75" customHeight="1" x14ac:dyDescent="0.25">
      <c r="B140" s="5"/>
      <c r="C140" s="5"/>
    </row>
    <row r="141" spans="2:3" ht="12.75" customHeight="1" x14ac:dyDescent="0.25">
      <c r="B141" s="5"/>
      <c r="C141" s="5"/>
    </row>
    <row r="142" spans="2:3" ht="12.75" customHeight="1" x14ac:dyDescent="0.25">
      <c r="B142" s="5"/>
      <c r="C142" s="5"/>
    </row>
    <row r="143" spans="2:3" ht="12.75" customHeight="1" x14ac:dyDescent="0.25">
      <c r="B143" s="5"/>
      <c r="C143" s="5"/>
    </row>
    <row r="144" spans="2:3" ht="12.75" customHeight="1" x14ac:dyDescent="0.25">
      <c r="B144" s="5"/>
      <c r="C144" s="5"/>
    </row>
    <row r="145" spans="2:3" ht="12.75" customHeight="1" x14ac:dyDescent="0.25">
      <c r="B145" s="5"/>
      <c r="C145" s="5"/>
    </row>
    <row r="146" spans="2:3" ht="12.75" customHeight="1" x14ac:dyDescent="0.25">
      <c r="B146" s="5"/>
      <c r="C146" s="5"/>
    </row>
    <row r="147" spans="2:3" ht="12.75" customHeight="1" x14ac:dyDescent="0.25">
      <c r="B147" s="5"/>
      <c r="C147" s="5"/>
    </row>
    <row r="148" spans="2:3" ht="12.75" customHeight="1" x14ac:dyDescent="0.25">
      <c r="B148" s="5"/>
      <c r="C148" s="5"/>
    </row>
    <row r="149" spans="2:3" ht="12.75" customHeight="1" x14ac:dyDescent="0.25">
      <c r="B149" s="5"/>
      <c r="C149" s="5"/>
    </row>
    <row r="150" spans="2:3" ht="12.75" customHeight="1" x14ac:dyDescent="0.25">
      <c r="B150" s="5"/>
      <c r="C150" s="5"/>
    </row>
    <row r="151" spans="2:3" ht="12.75" customHeight="1" x14ac:dyDescent="0.25">
      <c r="B151" s="5"/>
      <c r="C151" s="5"/>
    </row>
    <row r="152" spans="2:3" ht="12.75" customHeight="1" x14ac:dyDescent="0.25">
      <c r="B152" s="5"/>
      <c r="C152" s="5"/>
    </row>
    <row r="153" spans="2:3" ht="12.75" customHeight="1" x14ac:dyDescent="0.25">
      <c r="B153" s="5"/>
      <c r="C153" s="5"/>
    </row>
    <row r="154" spans="2:3" ht="12.75" customHeight="1" x14ac:dyDescent="0.25">
      <c r="B154" s="5"/>
      <c r="C154" s="5"/>
    </row>
    <row r="155" spans="2:3" ht="12.75" customHeight="1" x14ac:dyDescent="0.25">
      <c r="B155" s="5"/>
      <c r="C155" s="5"/>
    </row>
    <row r="156" spans="2:3" ht="12.75" customHeight="1" x14ac:dyDescent="0.25">
      <c r="B156" s="5"/>
      <c r="C156" s="5"/>
    </row>
    <row r="157" spans="2:3" ht="12.75" customHeight="1" x14ac:dyDescent="0.25">
      <c r="B157" s="5"/>
      <c r="C157" s="5"/>
    </row>
    <row r="158" spans="2:3" ht="12.75" customHeight="1" x14ac:dyDescent="0.25">
      <c r="B158" s="5"/>
      <c r="C158" s="5"/>
    </row>
    <row r="159" spans="2:3" ht="12.75" customHeight="1" x14ac:dyDescent="0.25">
      <c r="B159" s="5"/>
      <c r="C159" s="5"/>
    </row>
    <row r="160" spans="2:3" ht="12.75" customHeight="1" x14ac:dyDescent="0.25">
      <c r="B160" s="5"/>
      <c r="C160" s="5"/>
    </row>
    <row r="161" spans="2:3" ht="12.75" customHeight="1" x14ac:dyDescent="0.25">
      <c r="B161" s="5"/>
      <c r="C161" s="5"/>
    </row>
    <row r="162" spans="2:3" ht="12.75" customHeight="1" x14ac:dyDescent="0.25">
      <c r="B162" s="5"/>
      <c r="C162" s="5"/>
    </row>
    <row r="163" spans="2:3" ht="12.75" customHeight="1" x14ac:dyDescent="0.25">
      <c r="B163" s="5"/>
      <c r="C163" s="5"/>
    </row>
    <row r="164" spans="2:3" ht="12.75" customHeight="1" x14ac:dyDescent="0.25">
      <c r="B164" s="5"/>
      <c r="C164" s="5"/>
    </row>
    <row r="165" spans="2:3" ht="12.75" customHeight="1" x14ac:dyDescent="0.25">
      <c r="B165" s="5"/>
      <c r="C165" s="5"/>
    </row>
    <row r="166" spans="2:3" ht="12.75" customHeight="1" x14ac:dyDescent="0.25">
      <c r="B166" s="5"/>
      <c r="C166" s="5"/>
    </row>
    <row r="167" spans="2:3" ht="12.75" customHeight="1" x14ac:dyDescent="0.25">
      <c r="B167" s="5"/>
      <c r="C167" s="5"/>
    </row>
    <row r="168" spans="2:3" ht="12.75" customHeight="1" x14ac:dyDescent="0.25">
      <c r="B168" s="5"/>
      <c r="C168" s="5"/>
    </row>
    <row r="169" spans="2:3" ht="12.75" customHeight="1" x14ac:dyDescent="0.25">
      <c r="B169" s="5"/>
      <c r="C169" s="5"/>
    </row>
    <row r="170" spans="2:3" ht="12.75" customHeight="1" x14ac:dyDescent="0.25">
      <c r="B170" s="5"/>
      <c r="C170" s="5"/>
    </row>
    <row r="171" spans="2:3" ht="12.75" customHeight="1" x14ac:dyDescent="0.25">
      <c r="B171" s="5"/>
      <c r="C171" s="5"/>
    </row>
    <row r="172" spans="2:3" ht="12.75" customHeight="1" x14ac:dyDescent="0.25">
      <c r="B172" s="5"/>
      <c r="C172" s="5"/>
    </row>
    <row r="173" spans="2:3" ht="12.75" customHeight="1" x14ac:dyDescent="0.25">
      <c r="B173" s="5"/>
      <c r="C173" s="5"/>
    </row>
    <row r="174" spans="2:3" ht="12.75" customHeight="1" x14ac:dyDescent="0.25">
      <c r="B174" s="5"/>
      <c r="C174" s="5"/>
    </row>
    <row r="175" spans="2:3" ht="12.75" customHeight="1" x14ac:dyDescent="0.25">
      <c r="B175" s="5"/>
      <c r="C175" s="5"/>
    </row>
    <row r="176" spans="2:3" ht="12.75" customHeight="1" x14ac:dyDescent="0.25">
      <c r="B176" s="5"/>
      <c r="C176" s="5"/>
    </row>
    <row r="177" spans="2:3" ht="12.75" customHeight="1" x14ac:dyDescent="0.25">
      <c r="B177" s="5"/>
      <c r="C177" s="5"/>
    </row>
    <row r="178" spans="2:3" ht="12.75" customHeight="1" x14ac:dyDescent="0.25">
      <c r="B178" s="5"/>
      <c r="C178" s="5"/>
    </row>
    <row r="179" spans="2:3" ht="12.75" customHeight="1" x14ac:dyDescent="0.25">
      <c r="B179" s="5"/>
      <c r="C179" s="5"/>
    </row>
    <row r="180" spans="2:3" ht="12.75" customHeight="1" x14ac:dyDescent="0.25">
      <c r="B180" s="5"/>
      <c r="C180" s="5"/>
    </row>
    <row r="181" spans="2:3" ht="12.75" customHeight="1" x14ac:dyDescent="0.25">
      <c r="B181" s="5"/>
      <c r="C181" s="5"/>
    </row>
    <row r="182" spans="2:3" ht="12.75" customHeight="1" x14ac:dyDescent="0.25">
      <c r="B182" s="5"/>
      <c r="C182" s="5"/>
    </row>
    <row r="183" spans="2:3" ht="12.75" customHeight="1" x14ac:dyDescent="0.25">
      <c r="B183" s="5"/>
      <c r="C183" s="5"/>
    </row>
    <row r="184" spans="2:3" ht="12.75" customHeight="1" x14ac:dyDescent="0.25">
      <c r="B184" s="5"/>
      <c r="C184" s="5"/>
    </row>
    <row r="185" spans="2:3" ht="12.75" customHeight="1" x14ac:dyDescent="0.25">
      <c r="B185" s="5"/>
      <c r="C185" s="5"/>
    </row>
    <row r="186" spans="2:3" ht="12.75" customHeight="1" x14ac:dyDescent="0.25">
      <c r="B186" s="5"/>
      <c r="C186" s="5"/>
    </row>
    <row r="187" spans="2:3" ht="12.75" customHeight="1" x14ac:dyDescent="0.25">
      <c r="B187" s="5"/>
      <c r="C187" s="5"/>
    </row>
    <row r="188" spans="2:3" ht="12.75" customHeight="1" x14ac:dyDescent="0.25">
      <c r="B188" s="5"/>
      <c r="C188" s="5"/>
    </row>
    <row r="189" spans="2:3" ht="12.75" customHeight="1" x14ac:dyDescent="0.25">
      <c r="B189" s="5"/>
      <c r="C189" s="5"/>
    </row>
    <row r="190" spans="2:3" ht="12.75" customHeight="1" x14ac:dyDescent="0.25">
      <c r="B190" s="5"/>
      <c r="C190" s="5"/>
    </row>
    <row r="191" spans="2:3" ht="12.75" customHeight="1" x14ac:dyDescent="0.25">
      <c r="B191" s="5"/>
      <c r="C191" s="5"/>
    </row>
    <row r="192" spans="2:3" ht="12.75" customHeight="1" x14ac:dyDescent="0.25">
      <c r="B192" s="5"/>
      <c r="C192" s="5"/>
    </row>
    <row r="193" spans="2:3" ht="12.75" customHeight="1" x14ac:dyDescent="0.25">
      <c r="B193" s="5"/>
      <c r="C193" s="5"/>
    </row>
    <row r="194" spans="2:3" ht="12.75" customHeight="1" x14ac:dyDescent="0.25">
      <c r="B194" s="5"/>
      <c r="C194" s="5"/>
    </row>
    <row r="195" spans="2:3" ht="12.75" customHeight="1" x14ac:dyDescent="0.25">
      <c r="B195" s="5"/>
      <c r="C195" s="5"/>
    </row>
    <row r="196" spans="2:3" ht="12.75" customHeight="1" x14ac:dyDescent="0.25">
      <c r="B196" s="5"/>
      <c r="C196" s="5"/>
    </row>
    <row r="197" spans="2:3" ht="12.75" customHeight="1" x14ac:dyDescent="0.25">
      <c r="B197" s="5"/>
      <c r="C197" s="5"/>
    </row>
    <row r="198" spans="2:3" ht="12.75" customHeight="1" x14ac:dyDescent="0.25">
      <c r="B198" s="5"/>
      <c r="C198" s="5"/>
    </row>
    <row r="199" spans="2:3" ht="12.75" customHeight="1" x14ac:dyDescent="0.25">
      <c r="B199" s="5"/>
      <c r="C199" s="5"/>
    </row>
    <row r="200" spans="2:3" ht="12.75" customHeight="1" x14ac:dyDescent="0.25">
      <c r="B200" s="5"/>
      <c r="C200" s="5"/>
    </row>
    <row r="201" spans="2:3" ht="12.75" customHeight="1" x14ac:dyDescent="0.25">
      <c r="B201" s="5"/>
      <c r="C201" s="5"/>
    </row>
    <row r="202" spans="2:3" ht="12.75" customHeight="1" x14ac:dyDescent="0.25">
      <c r="B202" s="5"/>
      <c r="C202" s="5"/>
    </row>
    <row r="203" spans="2:3" ht="12.75" customHeight="1" x14ac:dyDescent="0.25">
      <c r="B203" s="5"/>
      <c r="C203" s="5"/>
    </row>
    <row r="204" spans="2:3" ht="12.75" customHeight="1" x14ac:dyDescent="0.25">
      <c r="B204" s="5"/>
      <c r="C204" s="5"/>
    </row>
    <row r="205" spans="2:3" ht="12.75" customHeight="1" x14ac:dyDescent="0.25">
      <c r="B205" s="5"/>
      <c r="C205" s="5"/>
    </row>
    <row r="206" spans="2:3" ht="12.75" customHeight="1" x14ac:dyDescent="0.25">
      <c r="B206" s="5"/>
      <c r="C206" s="5"/>
    </row>
    <row r="207" spans="2:3" ht="12.75" customHeight="1" x14ac:dyDescent="0.25">
      <c r="B207" s="5"/>
      <c r="C207" s="5"/>
    </row>
    <row r="208" spans="2:3" ht="12.75" customHeight="1" x14ac:dyDescent="0.25">
      <c r="B208" s="5"/>
      <c r="C208" s="5"/>
    </row>
    <row r="209" spans="2:3" ht="12.75" customHeight="1" x14ac:dyDescent="0.25">
      <c r="B209" s="5"/>
      <c r="C209" s="5"/>
    </row>
    <row r="210" spans="2:3" ht="12.75" customHeight="1" x14ac:dyDescent="0.25">
      <c r="B210" s="5"/>
      <c r="C210" s="5"/>
    </row>
    <row r="211" spans="2:3" ht="12.75" customHeight="1" x14ac:dyDescent="0.25">
      <c r="B211" s="5"/>
      <c r="C211" s="5"/>
    </row>
    <row r="212" spans="2:3" ht="12.75" customHeight="1" x14ac:dyDescent="0.25">
      <c r="B212" s="5"/>
      <c r="C212" s="5"/>
    </row>
    <row r="213" spans="2:3" ht="12.75" customHeight="1" x14ac:dyDescent="0.25">
      <c r="B213" s="5"/>
      <c r="C213" s="5"/>
    </row>
    <row r="214" spans="2:3" ht="12.75" customHeight="1" x14ac:dyDescent="0.25">
      <c r="B214" s="5"/>
      <c r="C214" s="5"/>
    </row>
    <row r="215" spans="2:3" ht="12.75" customHeight="1" x14ac:dyDescent="0.25">
      <c r="B215" s="5"/>
      <c r="C215" s="5"/>
    </row>
    <row r="216" spans="2:3" ht="12.75" customHeight="1" x14ac:dyDescent="0.25">
      <c r="B216" s="5"/>
      <c r="C216" s="5"/>
    </row>
    <row r="217" spans="2:3" ht="12.75" customHeight="1" x14ac:dyDescent="0.25">
      <c r="B217" s="5"/>
      <c r="C217" s="5"/>
    </row>
    <row r="218" spans="2:3" ht="12.75" customHeight="1" x14ac:dyDescent="0.25">
      <c r="B218" s="5"/>
      <c r="C218" s="5"/>
    </row>
    <row r="219" spans="2:3" ht="12.75" customHeight="1" x14ac:dyDescent="0.25">
      <c r="B219" s="5"/>
      <c r="C219" s="5"/>
    </row>
    <row r="220" spans="2:3" ht="12.75" customHeight="1" x14ac:dyDescent="0.25">
      <c r="B220" s="5"/>
      <c r="C220" s="5"/>
    </row>
    <row r="221" spans="2:3" ht="12.75" customHeight="1" x14ac:dyDescent="0.25">
      <c r="B221" s="5"/>
      <c r="C221" s="5"/>
    </row>
    <row r="222" spans="2:3" ht="12.75" customHeight="1" x14ac:dyDescent="0.25">
      <c r="B222" s="5"/>
      <c r="C222" s="5"/>
    </row>
    <row r="223" spans="2:3" ht="12.75" customHeight="1" x14ac:dyDescent="0.25">
      <c r="B223" s="5"/>
      <c r="C223" s="5"/>
    </row>
    <row r="224" spans="2:3" ht="12.75" customHeight="1" x14ac:dyDescent="0.25">
      <c r="B224" s="5"/>
      <c r="C224" s="5"/>
    </row>
    <row r="225" spans="2:3" ht="12.75" customHeight="1" x14ac:dyDescent="0.25">
      <c r="B225" s="5"/>
      <c r="C225" s="5"/>
    </row>
    <row r="226" spans="2:3" ht="12.75" customHeight="1" x14ac:dyDescent="0.25">
      <c r="B226" s="5"/>
      <c r="C22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"/>
  <sheetViews>
    <sheetView workbookViewId="0">
      <pane ySplit="1" topLeftCell="A5" activePane="bottomLeft" state="frozen"/>
      <selection pane="bottomLeft" activeCell="B3" sqref="B3"/>
    </sheetView>
  </sheetViews>
  <sheetFormatPr defaultColWidth="14.44140625" defaultRowHeight="12.75" customHeight="1" x14ac:dyDescent="0.25"/>
  <cols>
    <col min="1" max="2" width="21.5546875" customWidth="1"/>
  </cols>
  <sheetData>
    <row r="1" spans="1:3" ht="12.75" customHeight="1" x14ac:dyDescent="0.25">
      <c r="A1" t="s">
        <v>2</v>
      </c>
      <c r="B1" s="6" t="s">
        <v>3</v>
      </c>
      <c r="C1" s="6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Sheet2</vt:lpstr>
      <vt:lpstr>Sheet1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Ramachandran, Prasath Kumar</dc:creator>
  <cp:lastModifiedBy>Ramachandran, Prasath Kumar</cp:lastModifiedBy>
  <dcterms:created xsi:type="dcterms:W3CDTF">2018-11-09T09:56:30Z</dcterms:created>
  <dcterms:modified xsi:type="dcterms:W3CDTF">2018-11-09T13:20:42Z</dcterms:modified>
</cp:coreProperties>
</file>